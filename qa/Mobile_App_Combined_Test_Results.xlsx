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Results" sheetId="2" state="visible" r:id="rId4"/>
  </sheets>
  <definedNames>
    <definedName function="false" hidden="true" localSheetId="1" name="_xlnm._FilterDatabase" vbProcedure="false">'All Results'!$A$1:$I$378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<sst xmlns="http://schemas.openxmlformats.org/spreadsheetml/2006/main" count="3355" uniqueCount="1441">
  <si>
    <t xml:space="preserve">Zefanya Mobile App - Combined Test Results</t>
  </si>
  <si>
    <t xml:space="preserve">Static code review of lib.zip (mock-data build). Not run on a device. Blocked = needs phone, live API or seeded data. Edit Status on the All Results sheet and these counts update.</t>
  </si>
  <si>
    <t xml:space="preserve">Workbook</t>
  </si>
  <si>
    <t xml:space="preserve">Total</t>
  </si>
  <si>
    <t xml:space="preserve">Pass</t>
  </si>
  <si>
    <t xml:space="preserve">Fail</t>
  </si>
  <si>
    <t xml:space="preserve">Blocked</t>
  </si>
  <si>
    <t xml:space="preserve">Not Run</t>
  </si>
  <si>
    <t xml:space="preserve">Pass rate</t>
  </si>
  <si>
    <t xml:space="preserve">Buyer - Account Creation</t>
  </si>
  <si>
    <t xml:space="preserve">Courier - Account Creation</t>
  </si>
  <si>
    <t xml:space="preserve">Rider - Account Creation</t>
  </si>
  <si>
    <t xml:space="preserve">Buyer - Modules</t>
  </si>
  <si>
    <t xml:space="preserve">Courier - Modules</t>
  </si>
  <si>
    <t xml:space="preserve">Rider - Modules</t>
  </si>
  <si>
    <t xml:space="preserve">Sheet</t>
  </si>
  <si>
    <t xml:space="preserve">Module</t>
  </si>
  <si>
    <t xml:space="preserve">Test Case ID</t>
  </si>
  <si>
    <t xml:space="preserve">Test Scenario</t>
  </si>
  <si>
    <t xml:space="preserve">Expected Result</t>
  </si>
  <si>
    <t xml:space="preserve">Actual Result</t>
  </si>
  <si>
    <t xml:space="preserve">Status</t>
  </si>
  <si>
    <t xml:space="preserve">Remarks</t>
  </si>
  <si>
    <t xml:space="preserve">Buyer</t>
  </si>
  <si>
    <t xml:space="preserve">Registration Form</t>
  </si>
  <si>
    <t xml:space="preserve">TC-BUY-001</t>
  </si>
  <si>
    <t xml:space="preserve">Register with all valid data</t>
  </si>
  <si>
    <t xml:space="preserve">The form is accepted with no validation errors. A success message is shown, a 6-digit OTP is sent to the email, and the email verification screen opens. The account is saved with status Unverified.</t>
  </si>
  <si>
    <t xml:space="preserve">Mock build: Submit goes straight to the Under Review screen and no OTP is sent. The form also asks for Sex, Middle Initial, address and a Gov ID upload that are not in the test data.</t>
  </si>
  <si>
    <t xml:space="preserve">Needs live Laravel API (--dart-define=zefanya.useLiveApi=true). Check OTP email and Unverified status there.</t>
  </si>
  <si>
    <t xml:space="preserve">Required Fields</t>
  </si>
  <si>
    <t xml:space="preserve">TC-BUY-002</t>
  </si>
  <si>
    <t xml:space="preserve">Submit a completely empty form</t>
  </si>
  <si>
    <t xml:space="preserve">Registration is blocked. A required-field message is shown for every mandatory field. No account is created and no OTP is sent.</t>
  </si>
  <si>
    <t xml:space="preserve">Continue on step 1 flags every empty required field (names, sex, email, phone, date of birth). Nothing is submitted.</t>
  </si>
  <si>
    <t xml:space="preserve">Wizard validates per step; password, address and ID are flagged when their step is reached.</t>
  </si>
  <si>
    <t xml:space="preserve">TC-BUY-003</t>
  </si>
  <si>
    <t xml:space="preserve">Leave one required field blank at a time</t>
  </si>
  <si>
    <t xml:space="preserve">Each time, registration is blocked and a required-field message is shown on the blank field only. Other entered values (except passwords and uploads) are kept. No account is created.</t>
  </si>
  <si>
    <t xml:space="preserve">Each required field shows its own message; other values stay in the form.</t>
  </si>
  <si>
    <t xml:space="preserve">Name</t>
  </si>
  <si>
    <t xml:space="preserve">TC-BUY-004</t>
  </si>
  <si>
    <t xml:space="preserve">Name with numbers or symbols</t>
  </si>
  <si>
    <t xml:space="preserve">Registration is blocked. A message on each name field says only letters are allowed.</t>
  </si>
  <si>
    <t xml:space="preserve">Names with numbers and symbols are accepted. Only length of at least 2 is checked.</t>
  </si>
  <si>
    <t xml:space="preserve">Add a letters/space/hyphen/apostrophe/period rule (A2).</t>
  </si>
  <si>
    <t xml:space="preserve">TC-BUY-005</t>
  </si>
  <si>
    <t xml:space="preserve">Name with ñ and allowed punctuation</t>
  </si>
  <si>
    <t xml:space="preserve">The names are accepted and saved exactly as typed, including ñ.</t>
  </si>
  <si>
    <t xml:space="preserve">Names with ñ, hyphen and apostrophe are accepted and kept as typed.</t>
  </si>
  <si>
    <t xml:space="preserve">TC-BUY-006</t>
  </si>
  <si>
    <t xml:space="preserve">Name length at the limits</t>
  </si>
  <si>
    <t xml:space="preserve">1 and 51 characters are rejected with a length message. 2 and 50 characters are accepted.</t>
  </si>
  <si>
    <t xml:space="preserve">1 character shows "First name is required" (not a length message). 51 characters is accepted; there is no 50-character limit.</t>
  </si>
  <si>
    <t xml:space="preserve">Add max length 50 and a length message.</t>
  </si>
  <si>
    <t xml:space="preserve">Date of Birth</t>
  </si>
  <si>
    <t xml:space="preserve">TC-BUY-007</t>
  </si>
  <si>
    <t xml:space="preserve">Age at the 18-year limit</t>
  </si>
  <si>
    <t xml:space="preserve">The 17-year-old date is rejected with a message that the person must be at least 18. The other two dates are accepted.</t>
  </si>
  <si>
    <t xml:space="preserve">The age is calculated but never checked. A 17-year-old date of birth is accepted.</t>
  </si>
  <si>
    <t xml:space="preserve">registration_screen.dart _pickDob: add age &gt;= 18 validation (A6).</t>
  </si>
  <si>
    <t xml:space="preserve">TC-BUY-008</t>
  </si>
  <si>
    <t xml:space="preserve">Date of birth in the future</t>
  </si>
  <si>
    <t xml:space="preserve">Registration is blocked. A message asks for a valid date of birth. If a date picker is used, future dates cannot be selected.</t>
  </si>
  <si>
    <t xml:space="preserve">The date picker stops at today, so a future date cannot be chosen.</t>
  </si>
  <si>
    <t xml:space="preserve">Email</t>
  </si>
  <si>
    <t xml:space="preserve">TC-BUY-009</t>
  </si>
  <si>
    <t xml:space="preserve">Email in an invalid format</t>
  </si>
  <si>
    <t xml:space="preserve">Each value is rejected with a message asking for a valid email address. No account is created.</t>
  </si>
  <si>
    <t xml:space="preserve">All five values are rejected with "Enter a valid email address".</t>
  </si>
  <si>
    <t xml:space="preserve">TC-BUY-010</t>
  </si>
  <si>
    <t xml:space="preserve">Email that is already registered</t>
  </si>
  <si>
    <t xml:space="preserve">Registration is blocked. A message says the email is already in use. No account is created.</t>
  </si>
  <si>
    <t xml:space="preserve">Mock repository has no account store, so a duplicate email is never detected.</t>
  </si>
  <si>
    <t xml:space="preserve">Needs live Laravel API (--dart-define=zefanya.useLiveApi=true).</t>
  </si>
  <si>
    <t xml:space="preserve">TC-BUY-011</t>
  </si>
  <si>
    <t xml:space="preserve">Registered email typed in capital letters</t>
  </si>
  <si>
    <t xml:space="preserve">The email is treated as a duplicate. Registration is blocked.</t>
  </si>
  <si>
    <t xml:space="preserve">Duplicate detection (case-insensitive) is a server rule; the mock does not do it.</t>
  </si>
  <si>
    <t xml:space="preserve">TC-BUY-012</t>
  </si>
  <si>
    <t xml:space="preserve">Email with spaces before and after</t>
  </si>
  <si>
    <t xml:space="preserve">The spaces are removed and the email is saved as buyer.test01@example.com.</t>
  </si>
  <si>
    <t xml:space="preserve">Spaces are trimmed before validating and before submitting.</t>
  </si>
  <si>
    <t xml:space="preserve">Mobile Number</t>
  </si>
  <si>
    <t xml:space="preserve">TC-BUY-013</t>
  </si>
  <si>
    <t xml:space="preserve">Mobile number in an invalid format</t>
  </si>
  <si>
    <t xml:space="preserve">Each value is rejected with a message asking for a valid mobile number.</t>
  </si>
  <si>
    <t xml:space="preserve">All four values are rejected with "Enter a valid PH number (09XXXXXXXXX)".</t>
  </si>
  <si>
    <t xml:space="preserve">TC-BUY-014</t>
  </si>
  <si>
    <t xml:space="preserve">Mobile number length at the limits</t>
  </si>
  <si>
    <t xml:space="preserve">10 and 12 digits are rejected with a length message. 11 digits is accepted.</t>
  </si>
  <si>
    <t xml:space="preserve">10 and 12 digits are rejected; 11 digits is accepted.</t>
  </si>
  <si>
    <t xml:space="preserve">The message is a format message, not a length message.</t>
  </si>
  <si>
    <t xml:space="preserve">TC-BUY-015</t>
  </si>
  <si>
    <t xml:space="preserve">Mobile number that is already registered</t>
  </si>
  <si>
    <t xml:space="preserve">Registration is blocked. A message says the mobile number is already in use.</t>
  </si>
  <si>
    <t xml:space="preserve">Duplicate mobile numbers are only detectable by the server.</t>
  </si>
  <si>
    <t xml:space="preserve">TC-BUY-016</t>
  </si>
  <si>
    <t xml:space="preserve">Registered number entered in +63 format</t>
  </si>
  <si>
    <t xml:space="preserve">The +63 format is recognised as the same number. Registration is blocked. A message says the mobile number is already in use.</t>
  </si>
  <si>
    <t xml:space="preserve">+63 and 09 forms both pass the format check; treating them as the same number is a server rule.</t>
  </si>
  <si>
    <t xml:space="preserve">Password</t>
  </si>
  <si>
    <t xml:space="preserve">TC-BUY-017</t>
  </si>
  <si>
    <t xml:space="preserve">Password length at the limit</t>
  </si>
  <si>
    <t xml:space="preserve">7 characters is rejected with a minimum-length message. 8 characters is accepted.</t>
  </si>
  <si>
    <t xml:space="preserve">7 characters is rejected with "Use at least 8 characters"; 8 is accepted.</t>
  </si>
  <si>
    <t xml:space="preserve">TC-BUY-018</t>
  </si>
  <si>
    <t xml:space="preserve">Password missing a required character type</t>
  </si>
  <si>
    <t xml:space="preserve">Each password is rejected with a message stating the password rule. No account is created.</t>
  </si>
  <si>
    <t xml:space="preserve">All four passwords are accepted. Only the 8-character minimum is enforced; no upper/lower/number/special rule.</t>
  </si>
  <si>
    <t xml:space="preserve">Add the A5 rule, or change A5 to match the server.</t>
  </si>
  <si>
    <t xml:space="preserve">TC-BUY-019</t>
  </si>
  <si>
    <t xml:space="preserve">Confirm Password does not match</t>
  </si>
  <si>
    <t xml:space="preserve">Registration is blocked. A message says the passwords do not match.</t>
  </si>
  <si>
    <t xml:space="preserve">Shows "Passwords don't match".</t>
  </si>
  <si>
    <t xml:space="preserve">TC-BUY-020</t>
  </si>
  <si>
    <t xml:space="preserve">Password is hidden while typing</t>
  </si>
  <si>
    <t xml:space="preserve">Characters are hidden as dots by default. The icon reveals the password, then hides it again.</t>
  </si>
  <si>
    <t xml:space="preserve">Password and confirmation are obscured; the eye icon toggles each one.</t>
  </si>
  <si>
    <t xml:space="preserve">Terms and Privacy Policy</t>
  </si>
  <si>
    <t xml:space="preserve">TC-BUY-021</t>
  </si>
  <si>
    <t xml:space="preserve">Register without accepting the terms</t>
  </si>
  <si>
    <t xml:space="preserve">Registration is blocked. A message says the Terms and Privacy Policy must be accepted.</t>
  </si>
  <si>
    <t xml:space="preserve">No Terms and Privacy checkbox on the registration form. The only terms checkbox is at checkout.</t>
  </si>
  <si>
    <t xml:space="preserve">TC-BUY-022</t>
  </si>
  <si>
    <t xml:space="preserve">Tap Register several times quickly</t>
  </si>
  <si>
    <t xml:space="preserve">Only one account is created and only one OTP email is sent. No duplicate-email error screen appears.</t>
  </si>
  <si>
    <t xml:space="preserve">The submit button is disabled while the request runs, so repeated taps do nothing.</t>
  </si>
  <si>
    <t xml:space="preserve">The "only one OTP email" part needs the live API.</t>
  </si>
  <si>
    <t xml:space="preserve">Email Verification (OTP)</t>
  </si>
  <si>
    <t xml:space="preserve">TC-BUY-023</t>
  </si>
  <si>
    <t xml:space="preserve">Verify with the correct OTP</t>
  </si>
  <si>
    <t xml:space="preserve">Verification succeeds. The account status changes from Unverified to Active. A success message is shown and the login screen (or home screen) opens.</t>
  </si>
  <si>
    <t xml:space="preserve">After the correct code (123456 in mock) the status becomes Pending Approval and the Under Review screen opens. It never becomes Active.</t>
  </si>
  <si>
    <t xml:space="preserve">Rule conflict: A12 says buyers become Active after OTP, but the app treats them as needing admin approval. Align one of them.</t>
  </si>
  <si>
    <t xml:space="preserve">TC-BUY-024</t>
  </si>
  <si>
    <t xml:space="preserve">Verify with an incorrect OTP</t>
  </si>
  <si>
    <t xml:space="preserve">Verification fails with an invalid-code message. The account stays Unverified.</t>
  </si>
  <si>
    <t xml:space="preserve">A wrong code is rejected with "That code doesn't match. Please try again." and the account stays unverified.</t>
  </si>
  <si>
    <t xml:space="preserve">Mock accepts only 123456; live wording comes from the server.</t>
  </si>
  <si>
    <t xml:space="preserve">TC-BUY-025</t>
  </si>
  <si>
    <t xml:space="preserve">OTP in the wrong format</t>
  </si>
  <si>
    <t xml:space="preserve">Each value is rejected. The account stays Unverified.</t>
  </si>
  <si>
    <t xml:space="preserve">Letters cannot be typed (digits only). 5 digits shows "The code is six digits." Blank shows a prompt. A 7th digit cannot be typed.</t>
  </si>
  <si>
    <t xml:space="preserve">TC-BUY-026</t>
  </si>
  <si>
    <t xml:space="preserve">Verify with an expired OTP</t>
  </si>
  <si>
    <t xml:space="preserve">Verification fails with a message that the code has expired, and a Resend option is offered. The account stays Unverified.</t>
  </si>
  <si>
    <t xml:space="preserve">Expiry is decided by the server. The OTP screen has no expired state or countdown.</t>
  </si>
  <si>
    <t xml:space="preserve">TC-BUY-027</t>
  </si>
  <si>
    <t xml:space="preserve">Resend OTP</t>
  </si>
  <si>
    <t xml:space="preserve">A new OTP email arrives. The first code is rejected. The second code is accepted and the account is verified.</t>
  </si>
  <si>
    <t xml:space="preserve">Resend has a 30-second cooldown and shows "A new code has been sent." The mock resend sends nothing and the old code stays valid.</t>
  </si>
  <si>
    <t xml:space="preserve">TC-BUY-028</t>
  </si>
  <si>
    <t xml:space="preserve">Log in before verifying the email</t>
  </si>
  <si>
    <t xml:space="preserve">The user is not given access. The verification screen or a message asking to verify the email is shown.</t>
  </si>
  <si>
    <t xml:space="preserve">Mock login accepts any email and password and opens the buyer home, even for an unverified account.</t>
  </si>
  <si>
    <t xml:space="preserve">Live mode depends on the server answer; retest with the live API.</t>
  </si>
  <si>
    <t xml:space="preserve">Access Control</t>
  </si>
  <si>
    <t xml:space="preserve">TC-BUY-029</t>
  </si>
  <si>
    <t xml:space="preserve">Log in with the new verified account</t>
  </si>
  <si>
    <t xml:space="preserve">Login succeeds. The buyer home screen opens and the name Juan Miguel is shown.</t>
  </si>
  <si>
    <t xml:space="preserve">Mock login accepts any credentials, so this cannot prove a real verified account works.</t>
  </si>
  <si>
    <t xml:space="preserve">TC-BUY-030</t>
  </si>
  <si>
    <t xml:space="preserve">Open another role's screens</t>
  </si>
  <si>
    <t xml:space="preserve">No other role's menus are shown. Each deep link shows an access-denied message or returns to the buyer home screen. The API request is refused (401/403). No data from the other role is shown.</t>
  </si>
  <si>
    <t xml:space="preserve">The app has no deep links; the shell is chosen from the saved role. 401/403 handling is server-side.</t>
  </si>
  <si>
    <t xml:space="preserve">Needs live Laravel API (--dart-define=zefanya.useLiveApi=true). Also needs a proxy tool (M11).</t>
  </si>
  <si>
    <t xml:space="preserve">TC-BUY-031</t>
  </si>
  <si>
    <t xml:space="preserve">[Mobile] Each field opens the right keyboard</t>
  </si>
  <si>
    <t xml:space="preserve">Each field opens the keyboard listed in the test data. Password fields show no autocorrect or word suggestions. No field opens a keyboard that cannot type its valid value.</t>
  </si>
  <si>
    <t xml:space="preserve">Email uses the email keyboard, phone uses the phone keypad, names use the name keyboard, password fields are obscured.</t>
  </si>
  <si>
    <t xml:space="preserve">Code review only; confirm on a phone.</t>
  </si>
  <si>
    <t xml:space="preserve">TC-BUY-032</t>
  </si>
  <si>
    <t xml:space="preserve">[Mobile] Keyboard never hides the active field or Register</t>
  </si>
  <si>
    <t xml:space="preserve">The focused field always scrolls into view above the keyboard, with its error message visible. Register can be reached and tapped. The keyboard closes when Done or the background is tapped.</t>
  </si>
  <si>
    <t xml:space="preserve">Cannot be judged from code.</t>
  </si>
  <si>
    <t xml:space="preserve">Needs a phone or emulator; code review only.</t>
  </si>
  <si>
    <t xml:space="preserve">TC-BUY-033</t>
  </si>
  <si>
    <t xml:space="preserve">[Mobile] App sent to the background while filling the form</t>
  </si>
  <si>
    <t xml:space="preserve">Each time, the app returns to the same form with every typed value still there (passwords may be cleared). The app does not restart, crash or jump to the login screen. No account is created until Register is tapped.</t>
  </si>
  <si>
    <t xml:space="preserve">Cannot be judged from code. Controllers live in the wizard state, so values should survive a pause.</t>
  </si>
  <si>
    <t xml:space="preserve">TC-BUY-034</t>
  </si>
  <si>
    <t xml:space="preserve">[Mobile] Rotate the phone while the form has data</t>
  </si>
  <si>
    <t xml:space="preserve">Either the app stays in portrait, or the layout switches to landscape and back keeping every value and the error message. Nothing is cleared and the app does not crash.</t>
  </si>
  <si>
    <t xml:space="preserve">No orientation lock in code, so landscape is possible. Needs a device check.</t>
  </si>
  <si>
    <t xml:space="preserve">TC-BUY-035</t>
  </si>
  <si>
    <t xml:space="preserve">[Mobile] Register with no internet connection</t>
  </si>
  <si>
    <t xml:space="preserve">Step 3: a clear no-internet message is shown, the typed data stays on the form, the app does not crash, and no account is created. Step 4: the account is saved once: exactly one account and one OTP email.</t>
  </si>
  <si>
    <t xml:space="preserve">Mock mode never touches the network. The live path shows the NetworkException message in a snackbar and keeps the form.</t>
  </si>
  <si>
    <t xml:space="preserve">Needs live Laravel API (--dart-define=zefanya.useLiveApi=true). Use Airplane mode.</t>
  </si>
  <si>
    <t xml:space="preserve">TC-BUY-036</t>
  </si>
  <si>
    <t xml:space="preserve">[Mobile] Connection drops right after tapping Register</t>
  </si>
  <si>
    <t xml:space="preserve">The app shows a connection error or a waiting state, never a frozen screen. In the end exactly one account exists with this email. If the first attempt was saved, the app continues normally (or says the account already exists and lets the user continue); the account is never left in a state the user cannot reach.</t>
  </si>
  <si>
    <t xml:space="preserve">Needs a real request to drop.</t>
  </si>
  <si>
    <t xml:space="preserve">TC-BUY-037</t>
  </si>
  <si>
    <t xml:space="preserve">[Mobile] Paste the OTP copied from the mail app</t>
  </si>
  <si>
    <t xml:space="preserve">All 6 digits fill the OTP field (every box, in order, when it is split into boxes). Verification succeeds and the status changes exactly as in the correct-OTP case.</t>
  </si>
  <si>
    <t xml:space="preserve">The OTP field is digits-only and limited to 6, so a pasted 6-digit code fills it.</t>
  </si>
  <si>
    <t xml:space="preserve">It is one field, not split boxes. No one-time-code autofill hint is set.</t>
  </si>
  <si>
    <t xml:space="preserve">TC-BUY-038</t>
  </si>
  <si>
    <t xml:space="preserve">[Mobile] OTP countdown after switching to the mail app</t>
  </si>
  <si>
    <t xml:space="preserve">After step 2 the verification screen is still open and shows about 3 minutes left (the countdown kept running; it did not restart at 5:00). In step 3 the code is rejected as expired and Resend is offered.</t>
  </si>
  <si>
    <t xml:space="preserve">There is no countdown on the OTP screen, so nothing shows time left.</t>
  </si>
  <si>
    <t xml:space="preserve">TC-BUY-039</t>
  </si>
  <si>
    <t xml:space="preserve">[Mobile] System Back on the form and the verification screen</t>
  </si>
  <si>
    <t xml:space="preserve">Leaving a form with typed data asks first, and Cancel keeps every value. Back from the verification screen does not create a second account; the account stays Unverified, and the next login brings the user back to verification.</t>
  </si>
  <si>
    <t xml:space="preserve">Back on the first registration step leaves without asking. DirtyGuard is only used on Edit Profile.</t>
  </si>
  <si>
    <t xml:space="preserve">Wrap the registration wizard in DirtyGuard (M8).</t>
  </si>
  <si>
    <t xml:space="preserve">TC-BUY-040</t>
  </si>
  <si>
    <t xml:space="preserve">[Mobile] Large system font on a small screen</t>
  </si>
  <si>
    <t xml:space="preserve">All labels, placeholders, error messages and buttons can be read in full; none are cut off or overlapping. The screen scrolls to every field and Register can be tapped.</t>
  </si>
  <si>
    <t xml:space="preserve">main.dart clamps text scale to 0.85-1.3x, so the largest system font is capped. Overflow cannot be judged from code.</t>
  </si>
  <si>
    <t xml:space="preserve">TC-BUY-041</t>
  </si>
  <si>
    <t xml:space="preserve">[Mobile] Stay logged in after closing the app or restarting the phone</t>
  </si>
  <si>
    <t xml:space="preserve">Each time the app opens on the buyer home screen still logged in, showing Juan Miguel. It does not ask to log in again and shows no other user's data.</t>
  </si>
  <si>
    <t xml:space="preserve">Status and role are saved and restored at startup, so the app opens logged in.</t>
  </si>
  <si>
    <t xml:space="preserve">Live mode also keeps the token in secure storage.</t>
  </si>
  <si>
    <t xml:space="preserve">TC-BUY-042</t>
  </si>
  <si>
    <t xml:space="preserve">[Mobile] Back after logging out</t>
  </si>
  <si>
    <t xml:space="preserve">The login screen stays. No screen with account data appears again, and the app does not log back in by itself.</t>
  </si>
  <si>
    <t xml:space="preserve">Logout clears the session and returns to the root; the login screen shows and nothing logs back in.</t>
  </si>
  <si>
    <t xml:space="preserve">Courier</t>
  </si>
  <si>
    <t xml:space="preserve">Add Courier Form</t>
  </si>
  <si>
    <t xml:space="preserve">TC-COU-001</t>
  </si>
  <si>
    <t xml:space="preserve">Create a courier with all valid data</t>
  </si>
  <si>
    <t xml:space="preserve">The courier is saved with no validation errors and appears in the courier list of Bilis Hatid Express Inc. with status Pending Activation, home hub HUB-QC, 4-Wheeler Closed Van Truck and 3,000 kg. An activation email is sent to ernesto.villareal@example.com.</t>
  </si>
  <si>
    <t xml:space="preserve">The Add Courier form is not in the Flutter app.</t>
  </si>
  <si>
    <t xml:space="preserve">Out of scope for the mobile app: Add Courier is a Logistics (web) form. The app has a public courier sign-up instead.</t>
  </si>
  <si>
    <t xml:space="preserve">TC-COU-002</t>
  </si>
  <si>
    <t xml:space="preserve">Saving is blocked. A required-field message is shown for every mandatory field. No courier is created and no email is sent.</t>
  </si>
  <si>
    <t xml:space="preserve">TC-COU-003</t>
  </si>
  <si>
    <t xml:space="preserve">Each time, saving is blocked and a required-field message is shown on the blank field only. Other entered values (except uploads) are kept. No courier is created.</t>
  </si>
  <si>
    <t xml:space="preserve">TC-COU-004</t>
  </si>
  <si>
    <t xml:space="preserve">Saving is blocked. A message on each name field says only letters are allowed.</t>
  </si>
  <si>
    <t xml:space="preserve">TC-COU-005</t>
  </si>
  <si>
    <t xml:space="preserve">TC-COU-006</t>
  </si>
  <si>
    <t xml:space="preserve">The 17-year-old date is rejected with a message that the person must be at least 18. The other two dates are accepted. A future date cannot be picked.</t>
  </si>
  <si>
    <t xml:space="preserve">TC-COU-007</t>
  </si>
  <si>
    <t xml:space="preserve">Each value is rejected with a message asking for a valid email address. No courier is created.</t>
  </si>
  <si>
    <t xml:space="preserve">TC-COU-008</t>
  </si>
  <si>
    <t xml:space="preserve">Email already used by a rider or a buyer</t>
  </si>
  <si>
    <t xml:space="preserve">Both are blocked with a message that the email is already in use. The same person cannot be both a rider and a courier with one email. No courier is created.</t>
  </si>
  <si>
    <t xml:space="preserve">TC-COU-009</t>
  </si>
  <si>
    <t xml:space="preserve">TC-COU-010</t>
  </si>
  <si>
    <t xml:space="preserve">TC-COU-011</t>
  </si>
  <si>
    <t xml:space="preserve">Mobile number already used by a rider</t>
  </si>
  <si>
    <t xml:space="preserve">Both are blocked with a message that the mobile number is already in use (the +63 form is the same number).</t>
  </si>
  <si>
    <t xml:space="preserve">License and Vehicle</t>
  </si>
  <si>
    <t xml:space="preserve">TC-COU-012</t>
  </si>
  <si>
    <t xml:space="preserve">Driver's license number in an invalid format</t>
  </si>
  <si>
    <t xml:space="preserve">Each value is rejected with a message showing the format A00-00-000000.</t>
  </si>
  <si>
    <t xml:space="preserve">TC-COU-013</t>
  </si>
  <si>
    <t xml:space="preserve">License number already used by a courier or a rider</t>
  </si>
  <si>
    <t xml:space="preserve">Both are blocked with a message that the license number is already registered.</t>
  </si>
  <si>
    <t xml:space="preserve">TC-COU-014</t>
  </si>
  <si>
    <t xml:space="preserve">License expiry date at the limit</t>
  </si>
  <si>
    <t xml:space="preserve">Yesterday's date is rejected with a message that the license is expired. Today's and tomorrow's dates are accepted.</t>
  </si>
  <si>
    <t xml:space="preserve">TC-COU-015</t>
  </si>
  <si>
    <t xml:space="preserve">Only a professional license is accepted</t>
  </si>
  <si>
    <t xml:space="preserve">Only Professional is accepted. The others are rejected with a message that couriers need a professional license.</t>
  </si>
  <si>
    <t xml:space="preserve">TC-COU-016</t>
  </si>
  <si>
    <t xml:space="preserve">DL codes must cover the vehicle type</t>
  </si>
  <si>
    <t xml:space="preserve">Only the 'accept' combinations save. Each 'reject' shows a message naming the DL code the vehicle needs.</t>
  </si>
  <si>
    <t xml:space="preserve">TC-COU-017</t>
  </si>
  <si>
    <t xml:space="preserve">Load capacity at the limits for each vehicle type</t>
  </si>
  <si>
    <t xml:space="preserve">Only the 'accept' values save, exactly as typed. Each 'reject' shows a message with the allowed range for the chosen vehicle type.</t>
  </si>
  <si>
    <t xml:space="preserve">TC-COU-018</t>
  </si>
  <si>
    <t xml:space="preserve">Changing the vehicle type re-checks capacity and DL codes</t>
  </si>
  <si>
    <t xml:space="preserve">After the change, Load Capacity shows an error (Van maximum 1,000 kg) and the DL codes are checked again (Van needs B or B2). Saving is blocked until both are fixed.</t>
  </si>
  <si>
    <t xml:space="preserve">TC-COU-019</t>
  </si>
  <si>
    <t xml:space="preserve">Plate number already used by a courier or a rider</t>
  </si>
  <si>
    <t xml:space="preserve">All three are blocked with a message that the plate number is already registered.</t>
  </si>
  <si>
    <t xml:space="preserve">Home Hub</t>
  </si>
  <si>
    <t xml:space="preserve">TC-COU-020</t>
  </si>
  <si>
    <t xml:space="preserve">Home hub list shows only the company's own hubs</t>
  </si>
  <si>
    <t xml:space="preserve">The picker lists only HUB-QC, HUB-PSG and HUB-STR. The request with HUB-DVO is rejected and no courier is created.</t>
  </si>
  <si>
    <t xml:space="preserve">Document Upload</t>
  </si>
  <si>
    <t xml:space="preserve">TC-COU-021</t>
  </si>
  <si>
    <t xml:space="preserve">Upload documents in each accepted file type</t>
  </si>
  <si>
    <t xml:space="preserve">Each file is accepted and its name or preview is shown. The courier is saved.</t>
  </si>
  <si>
    <t xml:space="preserve">TC-COU-022</t>
  </si>
  <si>
    <t xml:space="preserve">Upload a file type that is not accepted</t>
  </si>
  <si>
    <t xml:space="preserve">Each file is rejected with a message listing the accepted types (JPG, PNG, PDF). No courier is created.</t>
  </si>
  <si>
    <t xml:space="preserve">TC-COU-023</t>
  </si>
  <si>
    <t xml:space="preserve">File size at the limit</t>
  </si>
  <si>
    <t xml:space="preserve">The 4.9 MB and 5.0 MB files are accepted. The 5.1 MB file is rejected with a maximum-size message.</t>
  </si>
  <si>
    <t xml:space="preserve">TC-COU-024</t>
  </si>
  <si>
    <t xml:space="preserve">Tap Save several times quickly</t>
  </si>
  <si>
    <t xml:space="preserve">Only one courier is created and only one activation email is sent.</t>
  </si>
  <si>
    <t xml:space="preserve">Account Activation</t>
  </si>
  <si>
    <t xml:space="preserve">TC-COU-025</t>
  </si>
  <si>
    <t xml:space="preserve">Courier activates the account with a valid password</t>
  </si>
  <si>
    <t xml:space="preserve">The password is saved. The courier's status changes from Pending Activation to Active, and the login screen opens with a success message.</t>
  </si>
  <si>
    <t xml:space="preserve">No activation link or Set Password screen. A courier sets the password at sign-up.</t>
  </si>
  <si>
    <t xml:space="preserve">A17/A18 assume Logistics creates couriers and emails an activation link. The app does not.</t>
  </si>
  <si>
    <t xml:space="preserve">TC-COU-026</t>
  </si>
  <si>
    <t xml:space="preserve">Set a password that breaks the password rule</t>
  </si>
  <si>
    <t xml:space="preserve">Each password is rejected with a message stating the password rule. The courier stays Pending Activation.</t>
  </si>
  <si>
    <t xml:space="preserve">TC-COU-027</t>
  </si>
  <si>
    <t xml:space="preserve">Activation is blocked. A message says the passwords do not match.</t>
  </si>
  <si>
    <t xml:space="preserve">TC-COU-028</t>
  </si>
  <si>
    <t xml:space="preserve">Open an expired activation link</t>
  </si>
  <si>
    <t xml:space="preserve">A message says the link has expired. No password can be set and the courier stays Pending Activation.</t>
  </si>
  <si>
    <t xml:space="preserve">TC-COU-029</t>
  </si>
  <si>
    <t xml:space="preserve">Logistics resends the activation email</t>
  </si>
  <si>
    <t xml:space="preserve">A new activation email is sent. The first link no longer works. The second link opens the Set Password screen.</t>
  </si>
  <si>
    <t xml:space="preserve">TC-COU-030</t>
  </si>
  <si>
    <t xml:space="preserve">Reuse the activation link after activating</t>
  </si>
  <si>
    <t xml:space="preserve">A message says the link is invalid or already used. The password cannot be changed through this link.</t>
  </si>
  <si>
    <t xml:space="preserve">TC-COU-031</t>
  </si>
  <si>
    <t xml:space="preserve">Courier logs in before activating</t>
  </si>
  <si>
    <t xml:space="preserve">Login is denied. The courier is not given access to any screen.</t>
  </si>
  <si>
    <t xml:space="preserve">No Pending Activation state in the app.</t>
  </si>
  <si>
    <t xml:space="preserve">See TC-COU-025.</t>
  </si>
  <si>
    <t xml:space="preserve">TC-COU-032</t>
  </si>
  <si>
    <t xml:space="preserve">Courier logs in after activating</t>
  </si>
  <si>
    <t xml:space="preserve">Login succeeds. The courier home screen opens and shows Ernesto Villareal, Bilis Hatid Express Inc., home hub HUB-QC, the truck NAB4521 and the status Off Duty. No rider job offers or rider screens are shown.</t>
  </si>
  <si>
    <t xml:space="preserve">Courier screens show no company, home hub or truck.</t>
  </si>
  <si>
    <t xml:space="preserve">TC-COU-033</t>
  </si>
  <si>
    <t xml:space="preserve">Courier is visible only to the company that created it</t>
  </si>
  <si>
    <t xml:space="preserve">Ernesto Villareal appears in the courier list of Bilis Hatid Express Inc. and does not appear in the courier list of Agila Cargo Movers Corp.</t>
  </si>
  <si>
    <t xml:space="preserve">Company ownership is a server rule.</t>
  </si>
  <si>
    <t xml:space="preserve">TC-COU-034</t>
  </si>
  <si>
    <t xml:space="preserve">No public courier registration</t>
  </si>
  <si>
    <t xml:space="preserve">Courier is not offered as a self-registration role. The Add Courier deep link opens the login screen.</t>
  </si>
  <si>
    <t xml:space="preserve">The registration screen offers Courier as a self-registration role.</t>
  </si>
  <si>
    <t xml:space="preserve">A17 says couriers cannot register themselves.</t>
  </si>
  <si>
    <t xml:space="preserve">TC-COU-035</t>
  </si>
  <si>
    <t xml:space="preserve">Buyer, seller or rider opens the Add Courier form</t>
  </si>
  <si>
    <t xml:space="preserve">Add Courier is not shown. The deep link and the request are refused each time (401/403, access-denied screen or redirect). No courier can be created.</t>
  </si>
  <si>
    <t xml:space="preserve">Logistics/Add Courier screens are not in the app; refusal is a server rule.</t>
  </si>
  <si>
    <t xml:space="preserve">TC-COU-036</t>
  </si>
  <si>
    <t xml:space="preserve">Pending logistics account tries to add a courier</t>
  </si>
  <si>
    <t xml:space="preserve">The Add Courier option is not available. The deep link or request is denied or shows the under-review notice. No courier can be created.</t>
  </si>
  <si>
    <t xml:space="preserve">No Logistics role in the app.</t>
  </si>
  <si>
    <t xml:space="preserve">TC-COU-037</t>
  </si>
  <si>
    <t xml:space="preserve">Open another role's screens, including rider jobs</t>
  </si>
  <si>
    <t xml:space="preserve">No other role's menus are shown. Each deep link shows an access-denied message or returns to the courier home screen. The accept-job request is refused (401/403); a courier cannot take rider jobs. No data from the other roles is shown.</t>
  </si>
  <si>
    <t xml:space="preserve">No deep links in the app; the 401/403 part is server-side.</t>
  </si>
  <si>
    <t xml:space="preserve">TC-COU-038</t>
  </si>
  <si>
    <t xml:space="preserve">Tests the Add Courier form, which is not in the app.</t>
  </si>
  <si>
    <t xml:space="preserve">TC-COU-039</t>
  </si>
  <si>
    <t xml:space="preserve">[Mobile] Keyboard never hides the active field or Save</t>
  </si>
  <si>
    <t xml:space="preserve">The focused field always scrolls into view above the keyboard, with its error message visible. Save can be reached and tapped. The keyboard closes when Done or the background is tapped.</t>
  </si>
  <si>
    <t xml:space="preserve">TC-COU-040</t>
  </si>
  <si>
    <t xml:space="preserve">Each time, the app returns to the same form with every typed value still there (passwords may be cleared). The app does not restart, crash or jump to the login screen. No courier is created until Save is tapped.</t>
  </si>
  <si>
    <t xml:space="preserve">TC-COU-041</t>
  </si>
  <si>
    <t xml:space="preserve">TC-COU-042</t>
  </si>
  <si>
    <t xml:space="preserve">[Mobile] Save with no internet connection</t>
  </si>
  <si>
    <t xml:space="preserve">Step 3: a clear no-internet message is shown, the typed data stays on the form, the app does not crash, and no courier is created. Step 4: the courier is saved once: exactly one courier and one activation email.</t>
  </si>
  <si>
    <t xml:space="preserve">TC-COU-043</t>
  </si>
  <si>
    <t xml:space="preserve">[Mobile] Connection drops right after tapping Save</t>
  </si>
  <si>
    <t xml:space="preserve">The app shows a connection error or a waiting state, never a frozen screen. In the end exactly one courier exists with this email. If the first attempt was saved, the app continues normally (or says the courier already exists and lets the user continue); the courier is never left in a state the user cannot reach.</t>
  </si>
  <si>
    <t xml:space="preserve">TC-COU-044</t>
  </si>
  <si>
    <t xml:space="preserve">[Mobile] System Back on the Add Courier form</t>
  </si>
  <si>
    <t xml:space="preserve">Leaving the form with typed data asks first, and Cancel keeps every value. After confirming, no courier is created and the courier list is unchanged.</t>
  </si>
  <si>
    <t xml:space="preserve">TC-COU-045</t>
  </si>
  <si>
    <t xml:space="preserve">[Mobile] Upload with the camera, the Files app and the gallery</t>
  </si>
  <si>
    <t xml:space="preserve">Each source (camera, Files, gallery) is offered and works. The camera photo shows a preview and is accepted (compressed to 5 MB or less if needed). The PDF and the gallery image show their names or previews. Save continues normally.</t>
  </si>
  <si>
    <t xml:space="preserve">The app offers Camera and Gallery only; no Files/PDF source. Permission-denied messaging is not in the picker.</t>
  </si>
  <si>
    <t xml:space="preserve">Add a Files source if PDFs are required (A10/M7).</t>
  </si>
  <si>
    <t xml:space="preserve">TC-COU-046</t>
  </si>
  <si>
    <t xml:space="preserve">[Mobile] Camera or photo access denied</t>
  </si>
  <si>
    <t xml:space="preserve">No crash. A message explains why the permission is needed and offers a link to the phone's Settings. Files still works and the file is accepted. Asking again shows the system prompt again or the Settings message.</t>
  </si>
  <si>
    <t xml:space="preserve">image_picker_helper.dart has no permission-denied message or Settings link.</t>
  </si>
  <si>
    <t xml:space="preserve">TC-COU-047</t>
  </si>
  <si>
    <t xml:space="preserve">[Mobile] Full-resolution camera photo bigger than 5 MB</t>
  </si>
  <si>
    <t xml:space="preserve">The app either compresses the photo to 5 MB or less and accepts it (the saved image is still readable), or rejects it with the maximum-size message. It never uploads a file over 5 MB and never fails without a message. Write your rule in Assumption M7, column D.</t>
  </si>
  <si>
    <t xml:space="preserve">No size check or compression step in the picker code.</t>
  </si>
  <si>
    <t xml:space="preserve">TC-COU-048</t>
  </si>
  <si>
    <t xml:space="preserve">All labels, placeholders, error messages and buttons can be read in full; none are cut off or overlapping. The screen scrolls to every field and Save can be tapped.</t>
  </si>
  <si>
    <t xml:space="preserve">TC-COU-049</t>
  </si>
  <si>
    <t xml:space="preserve">[Mobile] Activation link opened on the courier's phone with the app installed</t>
  </si>
  <si>
    <t xml:space="preserve">The link opens the app's Set Password screen (or a mobile web page that leads back to the app). Activation succeeds, the status becomes Active, and the courier logs in to the courier home screen showing Rogelio Dimaculangan.</t>
  </si>
  <si>
    <t xml:space="preserve">The app has no deep-link or app-link handling, so the activation link cannot open Set Password.</t>
  </si>
  <si>
    <t xml:space="preserve">TC-COU-050</t>
  </si>
  <si>
    <t xml:space="preserve">[Mobile] Activation link opened on a phone without the app</t>
  </si>
  <si>
    <t xml:space="preserve">The link opens a mobile web page to set the password, or the app's store page with clear instructions. No blank or error page.</t>
  </si>
  <si>
    <t xml:space="preserve">No activation web page or store fallback exists in the app.</t>
  </si>
  <si>
    <t xml:space="preserve">Needs the web side.</t>
  </si>
  <si>
    <t xml:space="preserve">TC-COU-051</t>
  </si>
  <si>
    <t xml:space="preserve">Each time the app opens on the courier home screen still logged in, showing Ernesto Villareal. It does not ask to log in again and shows no other user's data.</t>
  </si>
  <si>
    <t xml:space="preserve">Courier session is saved and restored at startup (same code path as buyer).</t>
  </si>
  <si>
    <t xml:space="preserve">Courier home does not show company/hub/truck.</t>
  </si>
  <si>
    <t xml:space="preserve">TC-COU-052</t>
  </si>
  <si>
    <t xml:space="preserve">Logout clears the session and returns to the root login screen.</t>
  </si>
  <si>
    <t xml:space="preserve">Rider</t>
  </si>
  <si>
    <t xml:space="preserve">Add Rider Form</t>
  </si>
  <si>
    <t xml:space="preserve">TC-RID-001</t>
  </si>
  <si>
    <t xml:space="preserve">Create a rider with all valid data</t>
  </si>
  <si>
    <t xml:space="preserve">The rider is saved with no validation errors and appears in the rider list of Bilis Hatid Express Inc. with status Pending Activation. An activation email is sent to pedrojose.garcia@example.com.</t>
  </si>
  <si>
    <t xml:space="preserve">The Add Rider form is not in the Flutter app.</t>
  </si>
  <si>
    <t xml:space="preserve">Out of scope for the mobile app: the app has no Rider role or Add Rider form (Logistics function, web).</t>
  </si>
  <si>
    <t xml:space="preserve">TC-RID-002</t>
  </si>
  <si>
    <t xml:space="preserve">Saving is blocked. A required-field message is shown for every mandatory field. No rider is created and no email is sent.</t>
  </si>
  <si>
    <t xml:space="preserve">TC-RID-003</t>
  </si>
  <si>
    <t xml:space="preserve">Each time, saving is blocked and a required-field message is shown on the blank field only. Other entered values (except uploads) are kept. No rider is created.</t>
  </si>
  <si>
    <t xml:space="preserve">TC-RID-004</t>
  </si>
  <si>
    <t xml:space="preserve">TC-RID-005</t>
  </si>
  <si>
    <t xml:space="preserve">TC-RID-006</t>
  </si>
  <si>
    <t xml:space="preserve">TC-RID-007</t>
  </si>
  <si>
    <t xml:space="preserve">Each value is rejected with a message asking for a valid email address. No rider is created.</t>
  </si>
  <si>
    <t xml:space="preserve">TC-RID-008</t>
  </si>
  <si>
    <t xml:space="preserve">Email already used by an account of another role</t>
  </si>
  <si>
    <t xml:space="preserve">Saving is blocked. A message says the email is already in use. No rider is created.</t>
  </si>
  <si>
    <t xml:space="preserve">TC-RID-009</t>
  </si>
  <si>
    <t xml:space="preserve">TC-RID-010</t>
  </si>
  <si>
    <t xml:space="preserve">TC-RID-011</t>
  </si>
  <si>
    <t xml:space="preserve">Saving is blocked. A message says the mobile number is already in use.</t>
  </si>
  <si>
    <t xml:space="preserve">TC-RID-012</t>
  </si>
  <si>
    <t xml:space="preserve">TC-RID-013</t>
  </si>
  <si>
    <t xml:space="preserve">Driver's license number already registered</t>
  </si>
  <si>
    <t xml:space="preserve">Saving is blocked. A message says the license number is already registered.</t>
  </si>
  <si>
    <t xml:space="preserve">TC-RID-014</t>
  </si>
  <si>
    <t xml:space="preserve">TC-RID-015</t>
  </si>
  <si>
    <t xml:space="preserve">Plate number already registered</t>
  </si>
  <si>
    <t xml:space="preserve">Saving is blocked. A message says the plate number is already registered.</t>
  </si>
  <si>
    <t xml:space="preserve">TC-RID-016</t>
  </si>
  <si>
    <t xml:space="preserve">Each file is accepted and its name or preview is shown. The rider is saved.</t>
  </si>
  <si>
    <t xml:space="preserve">TC-RID-017</t>
  </si>
  <si>
    <t xml:space="preserve">Each file is rejected with a message listing the accepted types (JPG, PNG, PDF). No rider is created.</t>
  </si>
  <si>
    <t xml:space="preserve">TC-RID-018</t>
  </si>
  <si>
    <t xml:space="preserve">TC-RID-019</t>
  </si>
  <si>
    <t xml:space="preserve">Only one rider is created and only one activation email is sent.</t>
  </si>
  <si>
    <t xml:space="preserve">TC-RID-020</t>
  </si>
  <si>
    <t xml:space="preserve">Rider activates the account with a valid password</t>
  </si>
  <si>
    <t xml:space="preserve">The password is saved. The rider's status changes from Pending Activation to Active, and the login screen opens with a success message.</t>
  </si>
  <si>
    <t xml:space="preserve">No activation link or Set Password screen in the app.</t>
  </si>
  <si>
    <t xml:space="preserve">A13 assumes Logistics creates riders and emails an activation link.</t>
  </si>
  <si>
    <t xml:space="preserve">TC-RID-021</t>
  </si>
  <si>
    <t xml:space="preserve">Each password is rejected with a message stating the password rule. The rider stays Pending Activation.</t>
  </si>
  <si>
    <t xml:space="preserve">TC-RID-022</t>
  </si>
  <si>
    <t xml:space="preserve">TC-RID-023</t>
  </si>
  <si>
    <t xml:space="preserve">A message says the link has expired. No password can be set and the rider stays Pending Activation.</t>
  </si>
  <si>
    <t xml:space="preserve">TC-RID-024</t>
  </si>
  <si>
    <t xml:space="preserve">A new activation email is sent. The first link no longer works. The second link opens the set-password screen.</t>
  </si>
  <si>
    <t xml:space="preserve">TC-RID-025</t>
  </si>
  <si>
    <t xml:space="preserve">TC-RID-026</t>
  </si>
  <si>
    <t xml:space="preserve">Rider logs in before activating</t>
  </si>
  <si>
    <t xml:space="preserve">Login is denied. The rider is not given access to any screen.</t>
  </si>
  <si>
    <t xml:space="preserve">No Pending Activation state or Rider role in the app.</t>
  </si>
  <si>
    <t xml:space="preserve">See TC-RID-020.</t>
  </si>
  <si>
    <t xml:space="preserve">TC-RID-027</t>
  </si>
  <si>
    <t xml:space="preserve">Rider logs in after activating</t>
  </si>
  <si>
    <t xml:space="preserve">Login succeeds. The rider dashboard opens and shows Pedro Jose Garcia and Bilis Hatid Express Inc.</t>
  </si>
  <si>
    <t xml:space="preserve">No Rider dashboard in the app.</t>
  </si>
  <si>
    <t xml:space="preserve">TC-RID-028</t>
  </si>
  <si>
    <t xml:space="preserve">Rider is visible only to the company that created it</t>
  </si>
  <si>
    <t xml:space="preserve">Pedro Jose Garcia appears in the rider list of Bilis Hatid Express Inc. and does not appear in the rider list of Agila Cargo Movers Corp.</t>
  </si>
  <si>
    <t xml:space="preserve">TC-RID-029</t>
  </si>
  <si>
    <t xml:space="preserve">No public rider registration</t>
  </si>
  <si>
    <t xml:space="preserve">Rider is not offered as a self-registration role. The Add Rider deep link opens the login screen.</t>
  </si>
  <si>
    <t xml:space="preserve">Registration offers only Buyer and Courier. Rider is not a self-registration role. There are no deep links.</t>
  </si>
  <si>
    <t xml:space="preserve">TC-RID-030</t>
  </si>
  <si>
    <t xml:space="preserve">Buyer or seller opens the Add Rider form</t>
  </si>
  <si>
    <t xml:space="preserve">Add Rider is not shown. The deep link and the request are refused each time (401/403, access-denied screen or redirect). No rider can be created.</t>
  </si>
  <si>
    <t xml:space="preserve">Add Rider is not in the app; refusal is a server rule.</t>
  </si>
  <si>
    <t xml:space="preserve">TC-RID-031</t>
  </si>
  <si>
    <t xml:space="preserve">Pending logistics account tries to add a rider</t>
  </si>
  <si>
    <t xml:space="preserve">The Add Rider option is not available. The deep link or request is denied or shows the under-review notice. No rider can be created.</t>
  </si>
  <si>
    <t xml:space="preserve">TC-RID-032</t>
  </si>
  <si>
    <t xml:space="preserve">No other role's menus are shown. Each deep link shows an access-denied message or returns to the rider home screen. The API request is refused (401/403). No data from the other role is shown.</t>
  </si>
  <si>
    <t xml:space="preserve">No deep links; the 401/403 part is server-side.</t>
  </si>
  <si>
    <t xml:space="preserve">TC-RID-033</t>
  </si>
  <si>
    <t xml:space="preserve">Tests the Add Rider form, which is not in the app.</t>
  </si>
  <si>
    <t xml:space="preserve">TC-RID-034</t>
  </si>
  <si>
    <t xml:space="preserve">TC-RID-035</t>
  </si>
  <si>
    <t xml:space="preserve">Each time, the app returns to the same form with every typed value still there (passwords may be cleared). The app does not restart, crash or jump to the login screen. No rider is created until Save is tapped.</t>
  </si>
  <si>
    <t xml:space="preserve">TC-RID-036</t>
  </si>
  <si>
    <t xml:space="preserve">TC-RID-037</t>
  </si>
  <si>
    <t xml:space="preserve">Step 3: a clear no-internet message is shown, the typed data stays on the form, the app does not crash, and no rider is created. Step 4: the rider is saved once: exactly one rider and one activation email.</t>
  </si>
  <si>
    <t xml:space="preserve">TC-RID-038</t>
  </si>
  <si>
    <t xml:space="preserve">The app shows a connection error or a waiting state, never a frozen screen. In the end exactly one rider exists with this email. If the first attempt was saved, the app continues normally (or says the rider already exists and lets the user continue); the rider is never left in a state the user cannot reach.</t>
  </si>
  <si>
    <t xml:space="preserve">TC-RID-039</t>
  </si>
  <si>
    <t xml:space="preserve">[Mobile] System Back on the Add Rider form</t>
  </si>
  <si>
    <t xml:space="preserve">Leaving the form with typed data asks first, and Cancel keeps every value. After confirming, no rider is created and the rider list is unchanged.</t>
  </si>
  <si>
    <t xml:space="preserve">TC-RID-040</t>
  </si>
  <si>
    <t xml:space="preserve">Camera and Gallery only; no Files/PDF source in the picker.</t>
  </si>
  <si>
    <t xml:space="preserve">See TC-COU-045.</t>
  </si>
  <si>
    <t xml:space="preserve">TC-RID-041</t>
  </si>
  <si>
    <t xml:space="preserve">No permission-denied message in the picker code.</t>
  </si>
  <si>
    <t xml:space="preserve">TC-RID-042</t>
  </si>
  <si>
    <t xml:space="preserve">No size check or compression in the picker code.</t>
  </si>
  <si>
    <t xml:space="preserve">TC-RID-043</t>
  </si>
  <si>
    <t xml:space="preserve">TC-RID-044</t>
  </si>
  <si>
    <t xml:space="preserve">[Mobile] Activation link opened on the rider's phone with the app installed</t>
  </si>
  <si>
    <t xml:space="preserve">The link opens the app's Set Password screen (or a mobile web page that leads back to the app). Activation succeeds, the status becomes Active, and the rider logs in to the rider home screen showing Mark Anthony Bautista.</t>
  </si>
  <si>
    <t xml:space="preserve">No deep-link or app-link handling in the app.</t>
  </si>
  <si>
    <t xml:space="preserve">TC-RID-045</t>
  </si>
  <si>
    <t xml:space="preserve">No activation web page or store fallback in the app.</t>
  </si>
  <si>
    <t xml:space="preserve">TC-RID-046</t>
  </si>
  <si>
    <t xml:space="preserve">Each time the app opens on the rider home screen still logged in, showing Pedro Jose Garcia. It does not ask to log in again and shows no other user's data.</t>
  </si>
  <si>
    <t xml:space="preserve">No Rider home screen. The courier session does persist (see TC-COU-051).</t>
  </si>
  <si>
    <t xml:space="preserve">TC-RID-047</t>
  </si>
  <si>
    <t xml:space="preserve">No Rider role. Logout works for the courier role (see TC-COU-052).</t>
  </si>
  <si>
    <t xml:space="preserve">B1 Account</t>
  </si>
  <si>
    <t xml:space="preserve">Account &amp; Security</t>
  </si>
  <si>
    <t xml:space="preserve">BUY-ACCT-001</t>
  </si>
  <si>
    <t xml:space="preserve">Edit profile with valid data</t>
  </si>
  <si>
    <t xml:space="preserve">A success message is shown. After a pull-to-refresh and re-login the new name and photo are shown on the profile screen and the account (Me) tab. Email and phone are unchanged.</t>
  </si>
  <si>
    <t xml:space="preserve">Edit Profile saves name, initial, sex, phone, address and photo to the phone only (no profile endpoint).</t>
  </si>
  <si>
    <t xml:space="preserve">Needs live Laravel API. Retest when the profile API exists.</t>
  </si>
  <si>
    <t xml:space="preserve">BUY-ACCT-002</t>
  </si>
  <si>
    <t xml:space="preserve">Profile field validation</t>
  </si>
  <si>
    <t xml:space="preserve">Each is rejected with a field message; the saved profile is unchanged after a pull-to-refresh.</t>
  </si>
  <si>
    <t xml:space="preserve">Name fields only check length &gt;= 2. No letters-only rule.</t>
  </si>
  <si>
    <t xml:space="preserve">Same gap as TC-BUY-004.</t>
  </si>
  <si>
    <t xml:space="preserve">BUY-ACCT-003</t>
  </si>
  <si>
    <t xml:space="preserve">Change password with the correct old password</t>
  </si>
  <si>
    <t xml:space="preserve">Password changes with a success message. The old password is rejected; the new one works.</t>
  </si>
  <si>
    <t xml:space="preserve">No change-password, change-email or change-phone screen.</t>
  </si>
  <si>
    <t xml:space="preserve">Feature is not in the app.</t>
  </si>
  <si>
    <t xml:space="preserve">BUY-ACCT-004</t>
  </si>
  <si>
    <t xml:space="preserve">Change password with a wrong old password</t>
  </si>
  <si>
    <t xml:space="preserve">Blocked with 'current password is incorrect'. The original password still works.</t>
  </si>
  <si>
    <t xml:space="preserve">BUY-ACCT-005</t>
  </si>
  <si>
    <t xml:space="preserve">New password breaks the rule</t>
  </si>
  <si>
    <t xml:space="preserve">Each is rejected with the specific rule that failed. The password is unchanged.</t>
  </si>
  <si>
    <t xml:space="preserve">BUY-ACCT-006</t>
  </si>
  <si>
    <t xml:space="preserve">Change email with verification</t>
  </si>
  <si>
    <t xml:space="preserve">Before verification the old email still logs in and the profile still shows it. After the correct OTP, only the new email logs in; the old one is rejected.</t>
  </si>
  <si>
    <t xml:space="preserve">BUY-ACCT-007</t>
  </si>
  <si>
    <t xml:space="preserve">Change email: wrong or expired OTP</t>
  </si>
  <si>
    <t xml:space="preserve">Both are rejected. The email is not changed.</t>
  </si>
  <si>
    <t xml:space="preserve">BUY-ACCT-008</t>
  </si>
  <si>
    <t xml:space="preserve">Change email to one already used</t>
  </si>
  <si>
    <t xml:space="preserve">Both are blocked with 'email already in use' and no OTP is sent.</t>
  </si>
  <si>
    <t xml:space="preserve">BUY-ACCT-009</t>
  </si>
  <si>
    <t xml:space="preserve">Change phone with verification and format</t>
  </si>
  <si>
    <t xml:space="preserve">Invalid and duplicate numbers are rejected without an OTP. The valid number is saved only after verification.</t>
  </si>
  <si>
    <t xml:space="preserve">BUY-ACCT-010</t>
  </si>
  <si>
    <t xml:space="preserve">[Mobile] Change the profile photo with the camera and the gallery</t>
  </si>
  <si>
    <t xml:space="preserve">Steps 1 and 2: the new photo shows on the profile and is still there after the app is closed and reopened. Step 3: no crash; a message says camera access is off and offers Settings; Gallery still works.</t>
  </si>
  <si>
    <t xml:space="preserve">Edit Profile offers Camera or Gallery. Camera-denied handling is not in the code (no Settings link).</t>
  </si>
  <si>
    <t xml:space="preserve">BUY-ACCT-011</t>
  </si>
  <si>
    <t xml:space="preserve">[Mobile] Password change ends the session on the other phone</t>
  </si>
  <si>
    <t xml:space="preserve">Phone B's session ends and the login screen is shown. The old password is rejected and the new one works. Phone A stays logged in.</t>
  </si>
  <si>
    <t xml:space="preserve">No password change, so no cross-phone session end.</t>
  </si>
  <si>
    <t xml:space="preserve">BUY-ACCT-012</t>
  </si>
  <si>
    <t xml:space="preserve">[Mobile] Stay logged in, then log out and press Back</t>
  </si>
  <si>
    <t xml:space="preserve">Step 1: the app opens on the home screen, still logged in as Juan Miguel. Steps 2–3: the login screen stays; no account screen appears again and the app does not log back in by itself.</t>
  </si>
  <si>
    <t xml:space="preserve">Session is restored at startup; logout returns to the login screen and nothing logs back in.</t>
  </si>
  <si>
    <t xml:space="preserve">B2 Address Book</t>
  </si>
  <si>
    <t xml:space="preserve">Address Book</t>
  </si>
  <si>
    <t xml:space="preserve">BUY-ADDR-001</t>
  </si>
  <si>
    <t xml:space="preserve">Add an address with valid data</t>
  </si>
  <si>
    <t xml:space="preserve">ADDR-2 is listed with exactly the entered values and is not default. ADDR-1 is still default.</t>
  </si>
  <si>
    <t xml:space="preserve">No address book: the app keeps one profile address plus a recent-addresses list. No default, limit, recipient or phone per address.</t>
  </si>
  <si>
    <t xml:space="preserve">BUY-ADDR-002</t>
  </si>
  <si>
    <t xml:space="preserve">Region → city → barangay cascade</t>
  </si>
  <si>
    <t xml:space="preserve">Each list shows only places under the one above (no Cebu cities under NCR). Changing Region clears City and Barangay.</t>
  </si>
  <si>
    <t xml:space="preserve">Province &gt; Municipality &gt; Barangay dropdowns are linked, but there is no Region level and no address book to add to.</t>
  </si>
  <si>
    <t xml:space="preserve">Cascade exists on the profile/registration form.</t>
  </si>
  <si>
    <t xml:space="preserve">BUY-ADDR-003</t>
  </si>
  <si>
    <t xml:space="preserve">Each required field left blank</t>
  </si>
  <si>
    <t xml:space="preserve">Each attempt is blocked with a message on the blank field. No address is added.</t>
  </si>
  <si>
    <t xml:space="preserve">BUY-ADDR-004</t>
  </si>
  <si>
    <t xml:space="preserve">Phone number format</t>
  </si>
  <si>
    <t xml:space="preserve">Only the two valid formats save.</t>
  </si>
  <si>
    <t xml:space="preserve">BUY-ADDR-005</t>
  </si>
  <si>
    <t xml:space="preserve">Address book limit</t>
  </si>
  <si>
    <t xml:space="preserve">The 10th saves. The 11th is blocked with a limit message.</t>
  </si>
  <si>
    <t xml:space="preserve">BUY-ADDR-006</t>
  </si>
  <si>
    <t xml:space="preserve">Set a different default address</t>
  </si>
  <si>
    <t xml:space="preserve">Only ADDR-2 shows Default and checkout pre-selects it.</t>
  </si>
  <si>
    <t xml:space="preserve">BUY-ADDR-007</t>
  </si>
  <si>
    <t xml:space="preserve">Delete the default address</t>
  </si>
  <si>
    <t xml:space="preserve">The first attempt is blocked with a message to choose another default first. The second succeeds. There is always exactly one default.</t>
  </si>
  <si>
    <t xml:space="preserve">BUY-ADDR-008</t>
  </si>
  <si>
    <t xml:space="preserve">Edit or delete an address used by an active order</t>
  </si>
  <si>
    <t xml:space="preserve">The order, the seller's view and the waybill still show the original ADDR-2 exactly.</t>
  </si>
  <si>
    <t xml:space="preserve">BUY-ADDR-009</t>
  </si>
  <si>
    <t xml:space="preserve">Cannot open another buyer's address</t>
  </si>
  <si>
    <t xml:space="preserve">Access is denied. No part of ADDR-3 is shown.</t>
  </si>
  <si>
    <t xml:space="preserve">BUY-ADDR-010</t>
  </si>
  <si>
    <t xml:space="preserve">[Mobile] Use My Location with permission allowed and denied</t>
  </si>
  <si>
    <t xml:space="preserve">Step 1: Region, City and Barangay are filled from the location and can still be edited before saving. Step 2: no crash; a message explains that location is off; the address can still be entered by hand.</t>
  </si>
  <si>
    <t xml:space="preserve">No Use My Location button.</t>
  </si>
  <si>
    <t xml:space="preserve">BUY-ADDR-011</t>
  </si>
  <si>
    <t xml:space="preserve">[Mobile] Keyboard on the address form</t>
  </si>
  <si>
    <t xml:space="preserve">Phone opens a number pad. Street and Recipient open a text keyboard. Save can be reached and tapped while the keyboard is open or after tapping Done.</t>
  </si>
  <si>
    <t xml:space="preserve">Street uses a street-address keyboard, but there are no Recipient or per-address Phone fields.</t>
  </si>
  <si>
    <t xml:space="preserve">B3 Browse &amp; Search</t>
  </si>
  <si>
    <t xml:space="preserve">Browse, Search &amp; Filter</t>
  </si>
  <si>
    <t xml:space="preserve">BUY-SRCH-001</t>
  </si>
  <si>
    <t xml:space="preserve">Browse a platform category</t>
  </si>
  <si>
    <t xml:space="preserve">Every Active product in Home &amp; Living is listed, including P-02. No product from other categories appears.</t>
  </si>
  <si>
    <t xml:space="preserve">Category listing works on the mock catalogue, but P-02 and the test categories are not in it.</t>
  </si>
  <si>
    <t xml:space="preserve">Needs the seeded test data (P-xx, ADDR-x) and live API; the mock catalogue is different.</t>
  </si>
  <si>
    <t xml:space="preserve">BUY-SRCH-002</t>
  </si>
  <si>
    <t xml:space="preserve">Store screen with store categories</t>
  </si>
  <si>
    <t xml:space="preserve">Store categories match CAT-1 to CAT-5. Lamps shows P-03 only.</t>
  </si>
  <si>
    <t xml:space="preserve">Categories come from the catalogue (CAT-1 to CAT-5 are not seeded).</t>
  </si>
  <si>
    <t xml:space="preserve">BUY-SRCH-003</t>
  </si>
  <si>
    <t xml:space="preserve">Search: exact and partial match</t>
  </si>
  <si>
    <t xml:space="preserve">P-02 appears for all four terms (case and outer spaces do not matter).</t>
  </si>
  <si>
    <t xml:space="preserve">Search is a text match on the catalogue; P-02 is not seeded.</t>
  </si>
  <si>
    <t xml:space="preserve">BUY-SRCH-004</t>
  </si>
  <si>
    <t xml:space="preserve">Search: typo and no results</t>
  </si>
  <si>
    <t xml:space="preserve">The typo returns P-02 or a 'Did you mean rattan basket?' suggestion. zzqxw shows a clear 'no results' state, not an error.</t>
  </si>
  <si>
    <t xml:space="preserve">No typo tolerance and no "Did you mean" suggestion.</t>
  </si>
  <si>
    <t xml:space="preserve">The no-results state was not checked.</t>
  </si>
  <si>
    <t xml:space="preserve">BUY-SRCH-005</t>
  </si>
  <si>
    <t xml:space="preserve">Search: special characters and injection</t>
  </si>
  <si>
    <t xml:space="preserve">Each returns no results or literal matches. No error screen, no pop-up, no list of all products from the SQL string, and the app log shows no script run.</t>
  </si>
  <si>
    <t xml:space="preserve">Mock search is client-side; live search sends q= to the server.</t>
  </si>
  <si>
    <t xml:space="preserve">Needs live Laravel API.</t>
  </si>
  <si>
    <t xml:space="preserve">BUY-SRCH-006</t>
  </si>
  <si>
    <t xml:space="preserve">Empty search</t>
  </si>
  <si>
    <t xml:space="preserve">The search is not submitted (or the normal listing is shown). No error screen.</t>
  </si>
  <si>
    <t xml:space="preserve">Submitting an empty search does nothing (it returns early).</t>
  </si>
  <si>
    <t xml:space="preserve">BUY-SRCH-007</t>
  </si>
  <si>
    <t xml:space="preserve">Price range filter</t>
  </si>
  <si>
    <t xml:space="preserve">Range ends are inclusive. Min greater than Max and negative values are rejected with a message and the results are not filtered by them.</t>
  </si>
  <si>
    <t xml:space="preserve">Only "max price" chips and a rating filter. No min/max inputs, so no validation of min &gt; max or negatives.</t>
  </si>
  <si>
    <t xml:space="preserve">BUY-SRCH-008</t>
  </si>
  <si>
    <t xml:space="preserve">Combined filters</t>
  </si>
  <si>
    <t xml:space="preserve">Only products matching all active filters are shown. Clearing filters widens the results correctly.</t>
  </si>
  <si>
    <t xml:space="preserve">Price and rating filters combine (both must match); toggling a chip clears it.</t>
  </si>
  <si>
    <t xml:space="preserve">BUY-SRCH-009</t>
  </si>
  <si>
    <t xml:space="preserve">Sort and loading more results</t>
  </si>
  <si>
    <t xml:space="preserve">Each sort orders the results correctly. No product repeats or disappears as more results load or when scrolling back.</t>
  </si>
  <si>
    <t xml:space="preserve">Sort by price low-high, high-low or featured, with a stable order.</t>
  </si>
  <si>
    <t xml:space="preserve">The app loads everything at once; there is no load-more.</t>
  </si>
  <si>
    <t xml:space="preserve">BUY-SRCH-010</t>
  </si>
  <si>
    <t xml:space="preserve">Inactive, deleted and draft products never appear</t>
  </si>
  <si>
    <t xml:space="preserve">None appears in search, category or store screens. Each share link opens an 'unavailable' or 'not found' screen in the app.</t>
  </si>
  <si>
    <t xml:space="preserve">Hiding inactive/draft products is a server rule; the app has no share links.</t>
  </si>
  <si>
    <t xml:space="preserve">BUY-SRCH-011</t>
  </si>
  <si>
    <t xml:space="preserve">Products of a vacation store</t>
  </si>
  <si>
    <t xml:space="preserve">P-02 appears with the 'On vacation' label and cannot be added to the cart.</t>
  </si>
  <si>
    <t xml:space="preserve">No vacation-store state.</t>
  </si>
  <si>
    <t xml:space="preserve">BUY-SRCH-012</t>
  </si>
  <si>
    <t xml:space="preserve">[Mobile] Search key on the keyboard and pull to refresh</t>
  </si>
  <si>
    <t xml:space="preserve">Step 1 runs the search and closes the keyboard. Step 2 reloads the results; the same products appear with no duplicates.</t>
  </si>
  <si>
    <t xml:space="preserve">The Search key runs the search, but the results screen has no pull-to-refresh.</t>
  </si>
  <si>
    <t xml:space="preserve">BUY-SRCH-013</t>
  </si>
  <si>
    <t xml:space="preserve">[Mobile] Search with no internet</t>
  </si>
  <si>
    <t xml:space="preserve">Step 1 shows a no-internet message, not an empty 'no results' state and not a crash. Step 2 shows P-02.</t>
  </si>
  <si>
    <t xml:space="preserve">Mock mode never goes to the network.</t>
  </si>
  <si>
    <t xml:space="preserve">Needs live Laravel API. Use Airplane mode.</t>
  </si>
  <si>
    <t xml:space="preserve">B4 Product Detail</t>
  </si>
  <si>
    <t xml:space="preserve">Product Detail Page</t>
  </si>
  <si>
    <t xml:space="preserve">BUY-PDP-001</t>
  </si>
  <si>
    <t xml:space="preserve">All variation types must be selected</t>
  </si>
  <si>
    <t xml:space="preserve">Without both selections, Add to Cart and Buy Now show 'Please select a variation' and nothing is added. With both, the item is added once.</t>
  </si>
  <si>
    <t xml:space="preserve">The first variant is pre-selected, so no "Please select a variation" check. Only one variation type exists.</t>
  </si>
  <si>
    <t xml:space="preserve">BUY-PDP-002</t>
  </si>
  <si>
    <t xml:space="preserve">Selecting a variant updates price, stock and image</t>
  </si>
  <si>
    <t xml:space="preserve">Price: ₱199 → ₱299 → ₱199. Stock: 10 → 5 → 10. Image switches to the colour's image.</t>
  </si>
  <si>
    <t xml:space="preserve">Variants are plain labels. No per-variant price, stock or image.</t>
  </si>
  <si>
    <t xml:space="preserve">BUY-PDP-003</t>
  </si>
  <si>
    <t xml:space="preserve">Out-of-stock variant disabled</t>
  </si>
  <si>
    <t xml:space="preserve">M is disabled for Black and cannot be selected.</t>
  </si>
  <si>
    <t xml:space="preserve">No per-variant stock or disabled state.</t>
  </si>
  <si>
    <t xml:space="preserve">BUY-PDP-004</t>
  </si>
  <si>
    <t xml:space="preserve">Quantity limits</t>
  </si>
  <si>
    <t xml:space="preserve">Only 1 and 20 are added. The + button stops at 20. Invalid values show a message and the cart is unchanged.</t>
  </si>
  <si>
    <t xml:space="preserve">The + button stops at the product stock, not at 20. No typed quantity.</t>
  </si>
  <si>
    <t xml:space="preserve">BUY-PDP-005</t>
  </si>
  <si>
    <t xml:space="preserve">Per-buyer purchase limit</t>
  </si>
  <si>
    <t xml:space="preserve">The first 2 are bought. The 3rd is blocked with a limit message, including in a new cart.</t>
  </si>
  <si>
    <t xml:space="preserve">No per-buyer purchase limit.</t>
  </si>
  <si>
    <t xml:space="preserve">BUY-PDP-006</t>
  </si>
  <si>
    <t xml:space="preserve">Sale price, countdown and vouchers shown</t>
  </si>
  <si>
    <t xml:space="preserve">Shows ₱299 with ₱450 struck through, a countdown to the slot end, the flash units left, and MCH50 with a Claim button.</t>
  </si>
  <si>
    <t xml:space="preserve">No sale price, countdown, flash units or voucher claim on the product screen.</t>
  </si>
  <si>
    <t xml:space="preserve">BUY-PDP-007</t>
  </si>
  <si>
    <t xml:space="preserve">Buy Now checks out only that item</t>
  </si>
  <si>
    <t xml:space="preserve">Checkout opens with only P-01 Natural-M × 1. P-05 stays in the cart and is not in this checkout.</t>
  </si>
  <si>
    <t xml:space="preserve">Buy Now adds the item to the cart and opens checkout with every selected cart line, not only that item.</t>
  </si>
  <si>
    <t xml:space="preserve">product_details_screen.dart Buy Now button.</t>
  </si>
  <si>
    <t xml:space="preserve">BUY-PDP-008</t>
  </si>
  <si>
    <t xml:space="preserve">Product screen of an unavailable product</t>
  </si>
  <si>
    <t xml:space="preserve">Both open a clear 'unavailable' screen with no Add to Cart. No crash or error screen.</t>
  </si>
  <si>
    <t xml:space="preserve">Handling of a removed product on the buyer screen needs a run.</t>
  </si>
  <si>
    <t xml:space="preserve">BUY-PDP-009</t>
  </si>
  <si>
    <t xml:space="preserve">[Mobile] Swipe and zoom product images</t>
  </si>
  <si>
    <t xml:space="preserve">Images change in the uploaded order with a position indicator. Zoom works and the image stays sharp. Closing returns to P-01 with Natural-M still selected.</t>
  </si>
  <si>
    <t xml:space="preserve">A photo carousel exists. Zoom and selection-kept-on-return need a device.</t>
  </si>
  <si>
    <t xml:space="preserve">BUY-PDP-010</t>
  </si>
  <si>
    <t xml:space="preserve">[Mobile] Share link opens the product in the app</t>
  </si>
  <si>
    <t xml:space="preserve">Phone B opens P-02 directly in the app. Without the app, the link opens a mobile web page for P-02 or the app's store page. Never a blank or error page.</t>
  </si>
  <si>
    <t xml:space="preserve">No share link or deep-link handling.</t>
  </si>
  <si>
    <t xml:space="preserve">B5 Wishlist &amp; Follow</t>
  </si>
  <si>
    <t xml:space="preserve">Wishlist &amp; Follow Store</t>
  </si>
  <si>
    <t xml:space="preserve">BUY-WISH-001</t>
  </si>
  <si>
    <t xml:space="preserve">Add and remove a wishlist item</t>
  </si>
  <si>
    <t xml:space="preserve">P-02 appears once, then is gone after removal. The heart on P-02's screen matches each state.</t>
  </si>
  <si>
    <t xml:space="preserve">The heart saves/unsaves and the Saved list shows the item once.</t>
  </si>
  <si>
    <t xml:space="preserve">Stored on the phone only.</t>
  </si>
  <si>
    <t xml:space="preserve">BUY-WISH-002</t>
  </si>
  <si>
    <t xml:space="preserve">Add the same item twice quickly</t>
  </si>
  <si>
    <t xml:space="preserve">P-02 appears at most once, and the heart reflects the final state.</t>
  </si>
  <si>
    <t xml:space="preserve">toggle() keeps ids unique, so the item appears at most once and the heart follows the final state.</t>
  </si>
  <si>
    <t xml:space="preserve">BUY-WISH-003</t>
  </si>
  <si>
    <t xml:space="preserve">Wishlist item goes out of stock or is deleted</t>
  </si>
  <si>
    <t xml:space="preserve">P-02 shows Sold out with Add to Cart disabled. P-05 stays listed as Unavailable with no Add to Cart. The screen shows no error.</t>
  </si>
  <si>
    <t xml:space="preserve">Needs live stock or delete changes.</t>
  </si>
  <si>
    <t xml:space="preserve">BUY-WISH-004</t>
  </si>
  <si>
    <t xml:space="preserve">Follow and unfollow a store</t>
  </si>
  <si>
    <t xml:space="preserve">Count becomes N+1 and Seller 1 is in Following; after unfollowing, N and removed.</t>
  </si>
  <si>
    <t xml:space="preserve">No follow-store feature.</t>
  </si>
  <si>
    <t xml:space="preserve">BUY-WISH-005</t>
  </si>
  <si>
    <t xml:space="preserve">Wishlist and follow require login</t>
  </si>
  <si>
    <t xml:space="preserve">Each opens the login screen; nothing is saved without an account.</t>
  </si>
  <si>
    <t xml:space="preserve">There is no guest mode: the whole app needs login first, so nothing can be saved without an account.</t>
  </si>
  <si>
    <t xml:space="preserve">B6 Cart</t>
  </si>
  <si>
    <t xml:space="preserve">Cart</t>
  </si>
  <si>
    <t xml:space="preserve">BUY-CART-001</t>
  </si>
  <si>
    <t xml:space="preserve">Same variant added twice merges</t>
  </si>
  <si>
    <t xml:space="preserve">One line, Natural-M × 3, subtotal ₱747.00.</t>
  </si>
  <si>
    <t xml:space="preserve">Same product and variant merges into one line and the quantity adds up.</t>
  </si>
  <si>
    <t xml:space="preserve">Prices differ from the plan; check totals on the seeded data.</t>
  </si>
  <si>
    <t xml:space="preserve">BUY-CART-002</t>
  </si>
  <si>
    <t xml:space="preserve">Different variants stay separate</t>
  </si>
  <si>
    <t xml:space="preserve">Two separate lines with their own prices (₱249 and ₱199).</t>
  </si>
  <si>
    <t xml:space="preserve">Lines stay separate, but variants cannot have their own prices.</t>
  </si>
  <si>
    <t xml:space="preserve">See BUY-PDP-002.</t>
  </si>
  <si>
    <t xml:space="preserve">BUY-CART-003</t>
  </si>
  <si>
    <t xml:space="preserve">Items grouped by store</t>
  </si>
  <si>
    <t xml:space="preserve">Two store groups with store names, each listing only its own items.</t>
  </si>
  <si>
    <t xml:space="preserve">Cart lines are grouped by store with the store name.</t>
  </si>
  <si>
    <t xml:space="preserve">BUY-CART-004</t>
  </si>
  <si>
    <t xml:space="preserve">Select and deselect items for checkout</t>
  </si>
  <si>
    <t xml:space="preserve">Subtotals: ₱399, then ₱1,098, then ₱699. Checkout contains only P-01 and P-02; P-05 stays in the cart.</t>
  </si>
  <si>
    <t xml:space="preserve">Select/deselect changes the subtotal and checkout only uses selected lines.</t>
  </si>
  <si>
    <t xml:space="preserve">BUY-CART-005</t>
  </si>
  <si>
    <t xml:space="preserve">Change quantity at the limits</t>
  </si>
  <si>
    <t xml:space="preserve">0 is not accepted (or asks to remove the item). 1 and 20 are accepted. 21 is blocked with 'only 20 available'.</t>
  </si>
  <si>
    <t xml:space="preserve">Minus at 1 removes the line (with Undo). There is no 20 cap and no "only 20 available" message.</t>
  </si>
  <si>
    <t xml:space="preserve">BUY-CART-006</t>
  </si>
  <si>
    <t xml:space="preserve">Price changes while in the cart</t>
  </si>
  <si>
    <t xml:space="preserve">The cart shows ₱420.00 and the subtotal updates.</t>
  </si>
  <si>
    <t xml:space="preserve">Cart prices are re-read only when the app loads; no live refresh for lines already in the cart.</t>
  </si>
  <si>
    <t xml:space="preserve">BUY-CART-007</t>
  </si>
  <si>
    <t xml:space="preserve">Item goes out of stock or is deleted while in the cart</t>
  </si>
  <si>
    <t xml:space="preserve">P-02 and P-05 are marked unavailable and cannot be selected. P-06 checks out normally.</t>
  </si>
  <si>
    <t xml:space="preserve">Products missing from the catalogue are silently dropped on load. No unavailable marking and no stock check.</t>
  </si>
  <si>
    <t xml:space="preserve">BUY-CART-008</t>
  </si>
  <si>
    <t xml:space="preserve">Cart persists after logout and on another device</t>
  </si>
  <si>
    <t xml:space="preserve">The same 2 items and quantities appear in both phones.</t>
  </si>
  <si>
    <t xml:space="preserve">The cart is stored on the phone only. It is not tied to the account or synced to another phone.</t>
  </si>
  <si>
    <t xml:space="preserve">BUY-CART-009</t>
  </si>
  <si>
    <t xml:space="preserve">Remove an item</t>
  </si>
  <si>
    <t xml:space="preserve">The line is gone after a pull-to-refresh and the subtotal updates.</t>
  </si>
  <si>
    <t xml:space="preserve">Remove deletes the line (with Undo) and the subtotal updates.</t>
  </si>
  <si>
    <t xml:space="preserve">BUY-CART-010</t>
  </si>
  <si>
    <t xml:space="preserve">Cannot change another buyer's cart</t>
  </si>
  <si>
    <t xml:space="preserve">Rejected (403 or not found). Buyer 2's cart is unchanged.</t>
  </si>
  <si>
    <t xml:space="preserve">The cart is local, so there is no cart API to test.</t>
  </si>
  <si>
    <t xml:space="preserve">BUY-CART-011</t>
  </si>
  <si>
    <t xml:space="preserve">[Mobile] Change quantity with no internet</t>
  </si>
  <si>
    <t xml:space="preserve">Step 1: a no-internet message; the quantity goes back to 1 or is clearly marked not saved. Step 2: the cart shows what the server saved. The phone never shows 3 while the server has 1.</t>
  </si>
  <si>
    <t xml:space="preserve">The cart is local; there is no network call to fail.</t>
  </si>
  <si>
    <t xml:space="preserve">BUY-CART-012</t>
  </si>
  <si>
    <t xml:space="preserve">[Mobile] Cart badge count</t>
  </si>
  <si>
    <t xml:space="preserve">The cart icon badge shows 1, 2, then 1, and still 1 after reopening. (Note in Remarks whether the badge counts lines or units.)</t>
  </si>
  <si>
    <t xml:space="preserve">The nav badge shows itemCount, the total number of units (not lines).</t>
  </si>
  <si>
    <t xml:space="preserve">Badge counts units. Confirm on a phone.</t>
  </si>
  <si>
    <t xml:space="preserve">B7 Vouchers</t>
  </si>
  <si>
    <t xml:space="preserve">Vouchers &amp; Promotions</t>
  </si>
  <si>
    <t xml:space="preserve">BUY-VOU-001</t>
  </si>
  <si>
    <t xml:space="preserve">Claim a voucher into the wallet</t>
  </si>
  <si>
    <t xml:space="preserve">MCH50 is in the wallet with its rule and end date. The button changes to Claimed and a second claim is not possible.</t>
  </si>
  <si>
    <t xml:space="preserve">The wallet lists vouchers. There is no Claim button or Claimed state.</t>
  </si>
  <si>
    <t xml:space="preserve">BUY-VOU-002</t>
  </si>
  <si>
    <t xml:space="preserve">Apply a store voucher</t>
  </si>
  <si>
    <t xml:space="preserve">Seller 1's group shows −₱50.00 and the total is ₱450 + ₱50 shipping − ₱50 = ₱450.00.</t>
  </si>
  <si>
    <t xml:space="preserve">Vouchers are applied by code in Cart. MCH50 is not in the mock list and vouchers are percentage with a cap, not flat.</t>
  </si>
  <si>
    <t xml:space="preserve">BUY-VOU-003</t>
  </si>
  <si>
    <t xml:space="preserve">Stacking per the agreed rule</t>
  </si>
  <si>
    <t xml:space="preserve">MCH50 + PLAT100 + FREESHIP apply; total ₱1,083.00. Selecting MCH10 replaces MCH50 (Seller 1 ₱699 ≥ ₱500 → −₱69.90; total ₱1,063.10); never both. RVSECRET is not applicable (Seller 2 subtotal ₱399 &lt; ₱1,000).</t>
  </si>
  <si>
    <t xml:space="preserve">Only one voucher can be applied at a time. No store/platform/shipping stacking.</t>
  </si>
  <si>
    <t xml:space="preserve">BUY-VOU-004</t>
  </si>
  <si>
    <t xml:space="preserve">Minimum spend at the boundary</t>
  </si>
  <si>
    <t xml:space="preserve">₱299.99: not applicable, with 'Spend ₱0.01 more'. ₱300.00 and ₱300.01: ₱50.00 off.</t>
  </si>
  <si>
    <t xml:space="preserve">The boundary is inclusive (below min is rejected). The message says "Spend at least P X" rather than "Spend P0.01 more".</t>
  </si>
  <si>
    <t xml:space="preserve">BUY-VOU-005</t>
  </si>
  <si>
    <t xml:space="preserve">Expired, not started, limit reached, invalid code</t>
  </si>
  <si>
    <t xml:space="preserve">Each is rejected with its own specific message. No discount is applied.</t>
  </si>
  <si>
    <t xml:space="preserve">Invalid code shows "isn't a valid voucher code". Expired vouchers are only shown muted; no "not started" or "limit reached" messages.</t>
  </si>
  <si>
    <t xml:space="preserve">BUY-VOU-006</t>
  </si>
  <si>
    <t xml:space="preserve">Per-buyer limit reached</t>
  </si>
  <si>
    <t xml:space="preserve">Rejected: already used. Buyer 2 can still use it.</t>
  </si>
  <si>
    <t xml:space="preserve">No per-buyer usage limit.</t>
  </si>
  <si>
    <t xml:space="preserve">BUY-VOU-007</t>
  </si>
  <si>
    <t xml:space="preserve">Removing an item drops below the minimum spend</t>
  </si>
  <si>
    <t xml:space="preserve">MCH50 is removed automatically with a notice. Total is ₱199 + ₱50 = ₱249.00.</t>
  </si>
  <si>
    <t xml:space="preserve">The voucher is removed automatically with "Voucher removed - cart dropped below the minimum".</t>
  </si>
  <si>
    <t xml:space="preserve">BUY-VOU-008</t>
  </si>
  <si>
    <t xml:space="preserve">Percentage voucher respects its cap</t>
  </si>
  <si>
    <t xml:space="preserve">₱499.99: not applicable. ₱999.00 → ₱99.90 off. ₱1,000.00 → ₱100.00 off. ₱1,250 → ₱100.00 off (cap, not ₱125.00).</t>
  </si>
  <si>
    <t xml:space="preserve">Percentage vouchers are capped at maxDiscount after the minimum-spend check.</t>
  </si>
  <si>
    <t xml:space="preserve">Logic reviewed only; seed values differ.</t>
  </si>
  <si>
    <t xml:space="preserve">BUY-VOU-009</t>
  </si>
  <si>
    <t xml:space="preserve">Shipping voucher larger than shipping</t>
  </si>
  <si>
    <t xml:space="preserve">₱50 shipping → ₱0.00 shipping (not negative). ₱65 shipping → ₱15.00. Merchandise amounts are unchanged.</t>
  </si>
  <si>
    <t xml:space="preserve">A shipping voucher gives min(max discount, shipping fee), so shipping never goes negative.</t>
  </si>
  <si>
    <t xml:space="preserve">BUY-VOU-010</t>
  </si>
  <si>
    <t xml:space="preserve">Total never negative</t>
  </si>
  <si>
    <t xml:space="preserve">Merchandise total is ₱0.00, never negative; shipping is still charged.</t>
  </si>
  <si>
    <t xml:space="preserve">Checkout clamps the total at 0, but that also drops shipping. The scenario uses a flat voucher the app cannot model.</t>
  </si>
  <si>
    <t xml:space="preserve">BUY-VOU-011</t>
  </si>
  <si>
    <t xml:space="preserve">Voucher on items already on sale</t>
  </si>
  <si>
    <t xml:space="preserve">MCH50 applies (₱360 ≥ ₱300). Merchandise ₱310.00, total ₱360.00 with ₱50 shipping.</t>
  </si>
  <si>
    <t xml:space="preserve">No sale or strike-through price in the app.</t>
  </si>
  <si>
    <t xml:space="preserve">BUY-VOU-012</t>
  </si>
  <si>
    <t xml:space="preserve">Voucher returned after cancellation</t>
  </si>
  <si>
    <t xml:space="preserve">MCH50 is back in the wallet, usable again before it expires.</t>
  </si>
  <si>
    <t xml:space="preserve">No cancellation, so no voucher return.</t>
  </si>
  <si>
    <t xml:space="preserve">B8 Checkout</t>
  </si>
  <si>
    <t xml:space="preserve">Checkout</t>
  </si>
  <si>
    <t xml:space="preserve">BUY-CHK-001</t>
  </si>
  <si>
    <t xml:space="preserve">Checkout with the worked example</t>
  </si>
  <si>
    <t xml:space="preserve">Summary: merchandise ₱1,098.00, shipping ₱185.00 (₱65 + ₱120), store voucher −₱50.00, platform voucher −₱100.00, shipping voucher −₱50.00, total ₱1,083.00. Two orders are created, one per store, whose totals add up to ₱1,083.00. Cart no longer has these items.</t>
  </si>
  <si>
    <t xml:space="preserve">Checkout shows subtotal, one voucher and flat shipping. No store/platform/shipping voucher lines and no per-store totals.</t>
  </si>
  <si>
    <t xml:space="preserve">BUY-CHK-002</t>
  </si>
  <si>
    <t xml:space="preserve">Shipping fee per store and per address</t>
  </si>
  <si>
    <t xml:space="preserve">ADDR-1 (NCR): ₱50.00. ADDR-3 (Visayas): ₱120.00. The total updates immediately.</t>
  </si>
  <si>
    <t xml:space="preserve">Shipping is P60, free from P1,000. Not per store or address zone.</t>
  </si>
  <si>
    <t xml:space="preserve">pricing.dart</t>
  </si>
  <si>
    <t xml:space="preserve">BUY-CHK-003</t>
  </si>
  <si>
    <t xml:space="preserve">Shipping weight at the 1 kg boundary</t>
  </si>
  <si>
    <t xml:space="preserve">1.0 kg is charged as 1 kg: ₱60.00. 1.2 kg is charged as 2 kg: ₱80.00.</t>
  </si>
  <si>
    <t xml:space="preserve">No weight-based shipping.</t>
  </si>
  <si>
    <t xml:space="preserve">BUY-CHK-004</t>
  </si>
  <si>
    <t xml:space="preserve">Unserviceable address</t>
  </si>
  <si>
    <t xml:space="preserve">A message says the area is not serviceable and Place Order is disabled. No order can be created.</t>
  </si>
  <si>
    <t xml:space="preserve">No serviceability check.</t>
  </si>
  <si>
    <t xml:space="preserve">BUY-CHK-005</t>
  </si>
  <si>
    <t xml:space="preserve">Note to seller length</t>
  </si>
  <si>
    <t xml:space="preserve">200 characters are saved and shown in full on the seller's order. 201 cannot be entered or is rejected.</t>
  </si>
  <si>
    <t xml:space="preserve">The note limit is 140 characters, not 200.</t>
  </si>
  <si>
    <t xml:space="preserve">checkout_screen.dart _notesMaxLength</t>
  </si>
  <si>
    <t xml:space="preserve">BUY-CHK-006</t>
  </si>
  <si>
    <t xml:space="preserve">No payment method selected</t>
  </si>
  <si>
    <t xml:space="preserve">Blocked until a payment method is chosen.</t>
  </si>
  <si>
    <t xml:space="preserve">Cash on Delivery is pre-selected, so an order can never be placed without a payment method.</t>
  </si>
  <si>
    <t xml:space="preserve">BUY-CHK-007</t>
  </si>
  <si>
    <t xml:space="preserve">Double-tap Place Order</t>
  </si>
  <si>
    <t xml:space="preserve">Exactly one order exists. P-02 stock is 19. The resubmit shows the existing order or a message; it does not create another.</t>
  </si>
  <si>
    <t xml:space="preserve">Place Order is disabled while the order is being placed.</t>
  </si>
  <si>
    <t xml:space="preserve">The stock-is-19 part needs the live API.</t>
  </si>
  <si>
    <t xml:space="preserve">BUY-CHK-008</t>
  </si>
  <si>
    <t xml:space="preserve">Price changed during checkout</t>
  </si>
  <si>
    <t xml:space="preserve">The order is not placed at ₱450. A message shows the new price and the summary updates to ₱480 for the buyer to confirm.</t>
  </si>
  <si>
    <t xml:space="preserve">The client does not re-check the price at Place Order; the server must.</t>
  </si>
  <si>
    <t xml:space="preserve">BUY-CHK-009</t>
  </si>
  <si>
    <t xml:space="preserve">Stock ran out during checkout</t>
  </si>
  <si>
    <t xml:space="preserve">Buyer 1's order is blocked with an out-of-stock message. Stock is 0.</t>
  </si>
  <si>
    <t xml:space="preserve">No stock check in cart or checkout.</t>
  </si>
  <si>
    <t xml:space="preserve">BUY-CHK-010</t>
  </si>
  <si>
    <t xml:space="preserve">Voucher becomes invalid during checkout</t>
  </si>
  <si>
    <t xml:space="preserve">The order is not placed with MCH50. A message says the voucher is no longer valid and the total is updated.</t>
  </si>
  <si>
    <t xml:space="preserve">The voucher is not re-validated when Place Order is tapped.</t>
  </si>
  <si>
    <t xml:space="preserve">BUY-CHK-011</t>
  </si>
  <si>
    <t xml:space="preserve">Tampered price or total in the request</t>
  </si>
  <si>
    <t xml:space="preserve">The server ignores or rejects the tampered amount. Any created order uses the real price.</t>
  </si>
  <si>
    <t xml:space="preserve">The order request sends unitPrice from the client. The server must ignore it.</t>
  </si>
  <si>
    <t xml:space="preserve">Needs live Laravel API. Needs a proxy tool (M11).</t>
  </si>
  <si>
    <t xml:space="preserve">BUY-CHK-012</t>
  </si>
  <si>
    <t xml:space="preserve">[Mobile] Connection lost after tapping Place Order</t>
  </si>
  <si>
    <t xml:space="preserve">The app shows a connection error or a waiting state, never a frozen screen. In the end exactly one order exists and P-02 stock is 19.</t>
  </si>
  <si>
    <t xml:space="preserve">Live order errors show a message with Retry and the cart is kept. Needs a real dropped connection.</t>
  </si>
  <si>
    <t xml:space="preserve">BUY-CHK-013</t>
  </si>
  <si>
    <t xml:space="preserve">[Mobile] App interrupted on the checkout screen</t>
  </si>
  <si>
    <t xml:space="preserve">The checkout screen still shows the same address, vouchers, payment method and total ₱1,083.00, or it reloads them and tells the buyer what changed. No order is placed without tapping Place Order.</t>
  </si>
  <si>
    <t xml:space="preserve">B9 Payment</t>
  </si>
  <si>
    <t xml:space="preserve">Payment</t>
  </si>
  <si>
    <t xml:space="preserve">BUY-PAY-001</t>
  </si>
  <si>
    <t xml:space="preserve">COD order</t>
  </si>
  <si>
    <t xml:space="preserve">The order goes straight to To Ship. Payment shows COD ₱500.00 to collect on delivery.</t>
  </si>
  <si>
    <t xml:space="preserve">COD orders appear under To Ship and show Cash on Delivery.</t>
  </si>
  <si>
    <t xml:space="preserve">The "COD P500 to collect" line is not shown.</t>
  </si>
  <si>
    <t xml:space="preserve">BUY-PAY-002</t>
  </si>
  <si>
    <t xml:space="preserve">E-wallet or card payment succeeds</t>
  </si>
  <si>
    <t xml:space="preserve">The order moves To Pay → To Ship and stores a payment reference. The amount charged equals the order total exactly.</t>
  </si>
  <si>
    <t xml:space="preserve">No payment gateway, To Pay status or payment reference.</t>
  </si>
  <si>
    <t xml:space="preserve">The checkout shows an e-wallet option but nothing processes it.</t>
  </si>
  <si>
    <t xml:space="preserve">BUY-PAY-003</t>
  </si>
  <si>
    <t xml:space="preserve">Payment fails</t>
  </si>
  <si>
    <t xml:space="preserve">The order stays To Pay with 'Payment failed' and Pay Again. It is not marked paid and the seller cannot ship it.</t>
  </si>
  <si>
    <t xml:space="preserve">No payment failure or Pay Again.</t>
  </si>
  <si>
    <t xml:space="preserve">BUY-PAY-004</t>
  </si>
  <si>
    <t xml:space="preserve">Buyer cancels at the gateway</t>
  </si>
  <si>
    <t xml:space="preserve">Buyer returns to the order in To Pay. No duplicate order is created.</t>
  </si>
  <si>
    <t xml:space="preserve">No gateway to cancel at.</t>
  </si>
  <si>
    <t xml:space="preserve">BUY-PAY-005</t>
  </si>
  <si>
    <t xml:space="preserve">App closed on the gateway screen</t>
  </si>
  <si>
    <t xml:space="preserve">The order shows To Ship once the gateway confirms. It is charged once only.</t>
  </si>
  <si>
    <t xml:space="preserve">No gateway screen.</t>
  </si>
  <si>
    <t xml:space="preserve">BUY-PAY-006</t>
  </si>
  <si>
    <t xml:space="preserve">Unpaid order auto-cancels</t>
  </si>
  <si>
    <t xml:space="preserve">The order is Cancelled (reason: unpaid). Stock is 20. MCH50 is back in the wallet.</t>
  </si>
  <si>
    <t xml:space="preserve">No unpaid auto-cancel.</t>
  </si>
  <si>
    <t xml:space="preserve">BUY-PAY-007</t>
  </si>
  <si>
    <t xml:space="preserve">Pay just before vs after the auto-cancel time</t>
  </si>
  <si>
    <t xml:space="preserve">The 59-minute payment succeeds. The 61-minute order is already Cancelled and Pay is not available.</t>
  </si>
  <si>
    <t xml:space="preserve">No pay window or auto-cancel.</t>
  </si>
  <si>
    <t xml:space="preserve">BUY-PAY-008</t>
  </si>
  <si>
    <t xml:space="preserve">[Mobile] Pay in the e-wallet app and switch back</t>
  </si>
  <si>
    <t xml:space="preserve">The app returns to the order, which shows To Ship with the payment reference and is charged once. When returning by hand, the order updates (after a pull-to-refresh at most) and Pay is not offered again.</t>
  </si>
  <si>
    <t xml:space="preserve">No e-wallet app handoff.</t>
  </si>
  <si>
    <t xml:space="preserve">BUY-PAY-009</t>
  </si>
  <si>
    <t xml:space="preserve">[Mobile] Back button while payment is processing</t>
  </si>
  <si>
    <t xml:space="preserve">The app asks before leaving, or ignores Back while processing. In the end the order is either paid once or still To Pay with Pay Again; never two payments or two orders.</t>
  </si>
  <si>
    <t xml:space="preserve">No payment processing screen.</t>
  </si>
  <si>
    <t xml:space="preserve">B10 Order Tracking</t>
  </si>
  <si>
    <t xml:space="preserve">Order Tracking &amp; History</t>
  </si>
  <si>
    <t xml:space="preserve">BUY-TRK-001</t>
  </si>
  <si>
    <t xml:space="preserve">Orders appear in the correct tab</t>
  </si>
  <si>
    <t xml:space="preserve">Each order is in exactly one tab matching its status; counts match.</t>
  </si>
  <si>
    <t xml:space="preserve">Each order shows in exactly one tab: To Ship, In Transit, Out for Delivery or To Rate.</t>
  </si>
  <si>
    <t xml:space="preserve">Tab names differ from the plan (no To Pay, Completed, Cancelled, Return).</t>
  </si>
  <si>
    <t xml:space="preserve">BUY-TRK-002</t>
  </si>
  <si>
    <t xml:space="preserve">Timeline matches seller, rider, courier and logistics updates</t>
  </si>
  <si>
    <t xml:space="preserve">Each event appears once, in order, with its time: Picked Up, At Hub (HUB-QC), In Transit to HUB-PSG, At Hub (HUB-PSG), Out for Delivery. The order moves to To Receive at Picked Up. The courier's name and location are not shown to the buyer.</t>
  </si>
  <si>
    <t xml:space="preserve">The timeline uses the app's own steps (sorting centre, rider) from local courier state, not hubs from Logistics.</t>
  </si>
  <si>
    <t xml:space="preserve">BUY-TRK-003</t>
  </si>
  <si>
    <t xml:space="preserve">Order Received button</t>
  </si>
  <si>
    <t xml:space="preserve">The order moves to Completed and the Rate button appears. Seller 1's earnings for it become Available.</t>
  </si>
  <si>
    <t xml:space="preserve">No Order Received button. The order moves to To Rate when the courier completes it.</t>
  </si>
  <si>
    <t xml:space="preserve">BUY-TRK-004</t>
  </si>
  <si>
    <t xml:space="preserve">Order Received not available before delivery</t>
  </si>
  <si>
    <t xml:space="preserve">Not shown; a direct request is rejected.</t>
  </si>
  <si>
    <t xml:space="preserve">No Order Received action to restrict.</t>
  </si>
  <si>
    <t xml:space="preserve">BUY-TRK-005</t>
  </si>
  <si>
    <t xml:space="preserve">Automatic completion</t>
  </si>
  <si>
    <t xml:space="preserve">To Receive before 7 days; Completed after, and earnings are released.</t>
  </si>
  <si>
    <t xml:space="preserve">No automatic completion after 7 days.</t>
  </si>
  <si>
    <t xml:space="preserve">BUY-TRK-006</t>
  </si>
  <si>
    <t xml:space="preserve">Cannot open another buyer's order</t>
  </si>
  <si>
    <t xml:space="preserve">Denied. No details of Buyer 2's order are shown.</t>
  </si>
  <si>
    <t xml:space="preserve">Order ownership is a server rule.</t>
  </si>
  <si>
    <t xml:space="preserve">BUY-TRK-007</t>
  </si>
  <si>
    <t xml:space="preserve">[Mobile] Push notification opens the order</t>
  </si>
  <si>
    <t xml:space="preserve">Step 1: a push notification for the change arrives, including on the lock screen. Step 2: the app opens on that order's tracking screen. Step 3: an in-app banner appears and the order screen updates. Exactly one notification per change.</t>
  </si>
  <si>
    <t xml:space="preserve">No push notifications (no Firebase or FCM in the project).</t>
  </si>
  <si>
    <t xml:space="preserve">B11 Cancellation</t>
  </si>
  <si>
    <t xml:space="preserve">Cancellation</t>
  </si>
  <si>
    <t xml:space="preserve">BUY-CAN-001</t>
  </si>
  <si>
    <t xml:space="preserve">Cancel a COD order before shipping</t>
  </si>
  <si>
    <t xml:space="preserve">The order is Cancelled on both sides. Stock is 20. Seller 1 is notified with the reason.</t>
  </si>
  <si>
    <t xml:space="preserve">The buyer has no Cancel option.</t>
  </si>
  <si>
    <t xml:space="preserve">BUY-CAN-002</t>
  </si>
  <si>
    <t xml:space="preserve">Reason is required</t>
  </si>
  <si>
    <t xml:space="preserve">Blocked until a reason is chosen. The order is unchanged.</t>
  </si>
  <si>
    <t xml:space="preserve">BUY-CAN-003</t>
  </si>
  <si>
    <t xml:space="preserve">Cancel a prepaid order</t>
  </si>
  <si>
    <t xml:space="preserve">The order is Cancelled and a refund for the exact amount paid is started. MCH50 returns to the wallet.</t>
  </si>
  <si>
    <t xml:space="preserve">BUY-CAN-004</t>
  </si>
  <si>
    <t xml:space="preserve">No cancel after Ready for Pickup</t>
  </si>
  <si>
    <t xml:space="preserve">No Cancel option; a direct request is rejected and the status is unchanged.</t>
  </si>
  <si>
    <t xml:space="preserve">BUY-CAN-005</t>
  </si>
  <si>
    <t xml:space="preserve">No cancel after shipping</t>
  </si>
  <si>
    <t xml:space="preserve">No Cancel option.</t>
  </si>
  <si>
    <t xml:space="preserve">BUY-CAN-006</t>
  </si>
  <si>
    <t xml:space="preserve">Double-tap Cancel</t>
  </si>
  <si>
    <t xml:space="preserve">One cancellation; stock restored once (not twice).</t>
  </si>
  <si>
    <t xml:space="preserve">B12 Return &amp; Refund</t>
  </si>
  <si>
    <t xml:space="preserve">Return &amp; Refund Request</t>
  </si>
  <si>
    <t xml:space="preserve">BUY-RET-001</t>
  </si>
  <si>
    <t xml:space="preserve">Request a return within the window</t>
  </si>
  <si>
    <t xml:space="preserve">The request is submitted. The order moves to Return/Refund. Seller 1 is notified. The order can no longer be completed automatically while the request is open.</t>
  </si>
  <si>
    <t xml:space="preserve">No Return/Refund request.</t>
  </si>
  <si>
    <t xml:space="preserve">BUY-RET-002</t>
  </si>
  <si>
    <t xml:space="preserve">Return not allowed before delivery</t>
  </si>
  <si>
    <t xml:space="preserve">Not available.</t>
  </si>
  <si>
    <t xml:space="preserve">BUY-RET-003</t>
  </si>
  <si>
    <t xml:space="preserve">Return window boundary</t>
  </si>
  <si>
    <t xml:space="preserve">Allowed on day 7. Not available after the window or once Completed.</t>
  </si>
  <si>
    <t xml:space="preserve">BUY-RET-004</t>
  </si>
  <si>
    <t xml:space="preserve">Evidence and description rules</t>
  </si>
  <si>
    <t xml:space="preserve">Each is blocked with a message. 1 to 5 valid photos and 10+ characters are required.</t>
  </si>
  <si>
    <t xml:space="preserve">BUY-RET-005</t>
  </si>
  <si>
    <t xml:space="preserve">Track request status</t>
  </si>
  <si>
    <t xml:space="preserve">Status Rejected with the seller's exact reason and an Escalate button.</t>
  </si>
  <si>
    <t xml:space="preserve">BUY-RET-006</t>
  </si>
  <si>
    <t xml:space="preserve">[Mobile] Return evidence from the camera and the gallery</t>
  </si>
  <si>
    <t xml:space="preserve">Photos are attached in the chosen order with previews, and a photo can be removed before submitting. The request is submitted with 2 photos and Seller 1 sees the same 2 photos.</t>
  </si>
  <si>
    <t xml:space="preserve">B13 Ratings &amp; Reviews</t>
  </si>
  <si>
    <t xml:space="preserve">Ratings &amp; Reviews</t>
  </si>
  <si>
    <t xml:space="preserve">BUY-RATE-001</t>
  </si>
  <si>
    <t xml:space="preserve">Rate a completed order</t>
  </si>
  <si>
    <t xml:space="preserve">The review appears on P-02 with 5 stars, the text, the photo, the variant and Buyer 1's (masked) name.</t>
  </si>
  <si>
    <t xml:space="preserve">A review has stars and an optional comment only. No photo, variant or masked name.</t>
  </si>
  <si>
    <t xml:space="preserve">BUY-RATE-002</t>
  </si>
  <si>
    <t xml:space="preserve">Rating not allowed before completion</t>
  </si>
  <si>
    <t xml:space="preserve">Not available; a direct request is rejected.</t>
  </si>
  <si>
    <t xml:space="preserve">Rating is offered only once the order reaches To Rate.</t>
  </si>
  <si>
    <t xml:space="preserve">BUY-RATE-003</t>
  </si>
  <si>
    <t xml:space="preserve">One review per item</t>
  </si>
  <si>
    <t xml:space="preserve">Blocked; only Edit is offered.</t>
  </si>
  <si>
    <t xml:space="preserve">The review screen pre-fills an existing review, so it is an edit rather than a second review.</t>
  </si>
  <si>
    <t xml:space="preserve">BUY-RATE-004</t>
  </si>
  <si>
    <t xml:space="preserve">Stars, text and photo limits</t>
  </si>
  <si>
    <t xml:space="preserve">0 stars is blocked. 500 characters and 5 photos are accepted; 501 characters and a 6th photo are not.</t>
  </si>
  <si>
    <t xml:space="preserve">0 stars blocks submit. Text limit is 400, not 500. No photos.</t>
  </si>
  <si>
    <t xml:space="preserve">BUY-RATE-005</t>
  </si>
  <si>
    <t xml:space="preserve">Edit once within the window</t>
  </si>
  <si>
    <t xml:space="preserve">The first edit saves. A second edit and an edit after 30 days are not possible.</t>
  </si>
  <si>
    <t xml:space="preserve">No edit-once or 30-day rule found.</t>
  </si>
  <si>
    <t xml:space="preserve">BUY-RATE-006</t>
  </si>
  <si>
    <t xml:space="preserve">Average rating updates</t>
  </si>
  <si>
    <t xml:space="preserve">Average becomes 3.0 and the count 2 on the product screen and search card.</t>
  </si>
  <si>
    <t xml:space="preserve">Aggregate is built from stars, but the figures need the seeded reviews.</t>
  </si>
  <si>
    <t xml:space="preserve">BUY-RATE-007</t>
  </si>
  <si>
    <t xml:space="preserve">[Mobile] Review photos from the camera and a multi-select</t>
  </si>
  <si>
    <t xml:space="preserve">No more than 5 photos can be attached: the gallery stops at 4 more, or a message says only 5 are allowed. The review saves with 5 photos.</t>
  </si>
  <si>
    <t xml:space="preserve">No photo attachments in reviews.</t>
  </si>
  <si>
    <t xml:space="preserve">B14 Chat &amp; Notifs</t>
  </si>
  <si>
    <t xml:space="preserve">Chat &amp; Notifications</t>
  </si>
  <si>
    <t xml:space="preserve">BUY-CHAT-001</t>
  </si>
  <si>
    <t xml:space="preserve">Chat with a seller from a product</t>
  </si>
  <si>
    <t xml:space="preserve">Seller 1 receives both in order. The chat shows the P-02 product card.</t>
  </si>
  <si>
    <t xml:space="preserve">Chat from the product opens a seller thread. No product card; seller receipt needs the live API.</t>
  </si>
  <si>
    <t xml:space="preserve">Needs live Laravel API. The live chat repository is not wired yet.</t>
  </si>
  <si>
    <t xml:space="preserve">BUY-CHAT-002</t>
  </si>
  <si>
    <t xml:space="preserve">Invalid attachments and message length</t>
  </si>
  <si>
    <t xml:space="preserve">All are rejected; nothing is sent.</t>
  </si>
  <si>
    <t xml:space="preserve">Only empty messages are blocked. No attachments and no length limit.</t>
  </si>
  <si>
    <t xml:space="preserve">BUY-CHAT-003</t>
  </si>
  <si>
    <t xml:space="preserve">Order status notifications</t>
  </si>
  <si>
    <t xml:space="preserve">Exactly one notification per change. Each opens the right order.</t>
  </si>
  <si>
    <t xml:space="preserve">No notifications for order status changes.</t>
  </si>
  <si>
    <t xml:space="preserve">BUY-CHAT-004</t>
  </si>
  <si>
    <t xml:space="preserve">Flash-sale reminder</t>
  </si>
  <si>
    <t xml:space="preserve">A reminder arrives before the slot starts and links to P-02.</t>
  </si>
  <si>
    <t xml:space="preserve">No flash-sale reminders.</t>
  </si>
  <si>
    <t xml:space="preserve">BUY-CHAT-005</t>
  </si>
  <si>
    <t xml:space="preserve">Mark notifications as read</t>
  </si>
  <si>
    <t xml:space="preserve">Unread count goes 3 → 2 → 0.</t>
  </si>
  <si>
    <t xml:space="preserve">No notification list or unread count.</t>
  </si>
  <si>
    <t xml:space="preserve">BUY-CHAT-006</t>
  </si>
  <si>
    <t xml:space="preserve">[Mobile] Chat message while the app is in the background</t>
  </si>
  <si>
    <t xml:space="preserve">A push notification shows Seller 1's name and a preview of the message. Tapping it opens that chat with the message shown once.</t>
  </si>
  <si>
    <t xml:space="preserve">No push notifications.</t>
  </si>
  <si>
    <t xml:space="preserve">BUY-CHAT-007</t>
  </si>
  <si>
    <t xml:space="preserve">[Mobile] Notifications turned off in phone Settings</t>
  </si>
  <si>
    <t xml:space="preserve">No push notification arrives, and the app neither crashes nor keeps asking. The in-app notification list still shows the update.</t>
  </si>
  <si>
    <t xml:space="preserve">No in-app notification list to fall back on.</t>
  </si>
  <si>
    <t xml:space="preserve">BUY-CHAT-008</t>
  </si>
  <si>
    <t xml:space="preserve">[Mobile] Send a chat message with no internet</t>
  </si>
  <si>
    <t xml:space="preserve">The message is marked not sent with a retry option, or is sent automatically once online. Seller 1 receives it exactly once.</t>
  </si>
  <si>
    <t xml:space="preserve">Chat is local in mock mode; the live chat repository is not wired yet.</t>
  </si>
  <si>
    <t xml:space="preserve">C1 Profile &amp; Vehicle</t>
  </si>
  <si>
    <t xml:space="preserve">Profile, Vehicle &amp; Documents</t>
  </si>
  <si>
    <t xml:space="preserve">COU-PROF-001</t>
  </si>
  <si>
    <t xml:space="preserve">View profile, vehicle and documents</t>
  </si>
  <si>
    <t xml:space="preserve">Shows Ernesto Villareal, license N02-15-345678 (Professional; codes B, B2, C), expiry 07/15/2029, 4-Wheeler Closed Van Truck, plate NAB4521, capacity 3,000 kg, home hub HUB-QC, company Bilis Hatid Express Inc., status Active. All three documents open.</t>
  </si>
  <si>
    <t xml:space="preserve">Profile shows no license, vehicle, capacity or documents.</t>
  </si>
  <si>
    <t xml:space="preserve">The app has no hub-to-hub trip workflow. Its Courier role is pickup and delivery (see the Rider workbook).</t>
  </si>
  <si>
    <t xml:space="preserve">COU-PROF-002</t>
  </si>
  <si>
    <t xml:space="preserve">Update load capacity and OR/CR</t>
  </si>
  <si>
    <t xml:space="preserve">The change is saved and Logistics 1 sees 2,500 kg and the new OR/CR, flagged for re-verification. The old values are no longer shown.</t>
  </si>
  <si>
    <t xml:space="preserve">No capacity or OR/CR editing.</t>
  </si>
  <si>
    <t xml:space="preserve">COU-PROF-003</t>
  </si>
  <si>
    <t xml:space="preserve">All three are blocked as already registered. The plate stays NAB4521.</t>
  </si>
  <si>
    <t xml:space="preserve">No plate editing.</t>
  </si>
  <si>
    <t xml:space="preserve">COU-PROF-004</t>
  </si>
  <si>
    <t xml:space="preserve">License expiry boundary</t>
  </si>
  <si>
    <t xml:space="preserve">Yesterday is rejected with an expiry message. Today is accepted.</t>
  </si>
  <si>
    <t xml:space="preserve">No license expiry field.</t>
  </si>
  <si>
    <t xml:space="preserve">COU-PROF-005</t>
  </si>
  <si>
    <t xml:space="preserve">Document upload rules</t>
  </si>
  <si>
    <t xml:space="preserve">Only the 5.0 MB JPG is accepted; the others are rejected and the previous document is kept.</t>
  </si>
  <si>
    <t xml:space="preserve">Uploads are photos only; no 5 MB or file-type check.</t>
  </si>
  <si>
    <t xml:space="preserve">COU-PROF-006</t>
  </si>
  <si>
    <t xml:space="preserve">Suspended courier cannot work</t>
  </si>
  <si>
    <t xml:space="preserve">Courier 3 cannot go On Duty and sees a suspension message. Courier 3 is not listed for assignment.</t>
  </si>
  <si>
    <t xml:space="preserve">Server rule (suspension / ownership).</t>
  </si>
  <si>
    <t xml:space="preserve">COU-PROF-007</t>
  </si>
  <si>
    <t xml:space="preserve">Courier cannot see another courier's profile</t>
  </si>
  <si>
    <t xml:space="preserve">Denied. No Courier 2 data is shown.</t>
  </si>
  <si>
    <t xml:space="preserve">COU-PROF-008</t>
  </si>
  <si>
    <t xml:space="preserve">[Mobile] Update documents with the camera and the Files app</t>
  </si>
  <si>
    <t xml:space="preserve">Both are accepted with previews, and Logistics 1 sees the new documents flagged for re-verification.</t>
  </si>
  <si>
    <t xml:space="preserve">No Files source and no re-verification flag.</t>
  </si>
  <si>
    <t xml:space="preserve">C2 Shift &amp; Availability</t>
  </si>
  <si>
    <t xml:space="preserve">Shift &amp; Availability</t>
  </si>
  <si>
    <t xml:space="preserve">COU-SHIFT-001</t>
  </si>
  <si>
    <t xml:space="preserve">Go On Duty after a passed pre-trip checklist</t>
  </si>
  <si>
    <t xml:space="preserve">Courier 1 is On Duty. Logistics 1 sees Courier 1 On Duty with the current location and the checklist time.</t>
  </si>
  <si>
    <t xml:space="preserve">No On/Off Duty switch, pre-trip checklist or location permission step.</t>
  </si>
  <si>
    <t xml:space="preserve">COU-SHIFT-002</t>
  </si>
  <si>
    <t xml:space="preserve">Checklist item marked Not OK</t>
  </si>
  <si>
    <t xml:space="preserve">Step 1 is blocked: a note is required. Step 2: Courier 1 stays Off Duty and cannot be assigned. Logistics 1 is notified with the item and the note.</t>
  </si>
  <si>
    <t xml:space="preserve">COU-SHIFT-003</t>
  </si>
  <si>
    <t xml:space="preserve">Checklist not finished</t>
  </si>
  <si>
    <t xml:space="preserve">Blocked with a message to answer every item. Courier 1 stays Off Duty.</t>
  </si>
  <si>
    <t xml:space="preserve">COU-SHIFT-004</t>
  </si>
  <si>
    <t xml:space="preserve">Off Duty is blocked during an active trip</t>
  </si>
  <si>
    <t xml:space="preserve">Blocked with a message that the trip must be handed over first. Courier 1 stays On Duty.</t>
  </si>
  <si>
    <t xml:space="preserve">COU-SHIFT-005</t>
  </si>
  <si>
    <t xml:space="preserve">Go Off Duty with no trip</t>
  </si>
  <si>
    <t xml:space="preserve">Courier 1 is Off Duty and is not listed for assignment.</t>
  </si>
  <si>
    <t xml:space="preserve">COU-SHIFT-006</t>
  </si>
  <si>
    <t xml:space="preserve">[Mobile] Location permission needed to go On Duty</t>
  </si>
  <si>
    <t xml:space="preserve">Step 1 is blocked with a message that location is needed and a link to Settings; no crash. Step 2 continues to the checklist.</t>
  </si>
  <si>
    <t xml:space="preserve">COU-SHIFT-007</t>
  </si>
  <si>
    <t xml:space="preserve">[Mobile] App force-closed while On Duty</t>
  </si>
  <si>
    <t xml:space="preserve">Within 5 minutes Courier 1 shows Offline (or 'location unknown') and cannot be assigned. Reopening the app shows the duty status clearly.</t>
  </si>
  <si>
    <t xml:space="preserve">C3 Trip Assignment</t>
  </si>
  <si>
    <t xml:space="preserve">Trip Assignment</t>
  </si>
  <si>
    <t xml:space="preserve">COU-TRIP-001</t>
  </si>
  <si>
    <t xml:space="preserve">View an assigned trip</t>
  </si>
  <si>
    <t xml:space="preserve">Shows the trip ID, origin HUB-QC and destination HUB-PSG with addresses, 5 parcels, 3.6 kg, the scheduled departure time and the pay ₱1,000.00. Status Assigned.</t>
  </si>
  <si>
    <t xml:space="preserve">No trips, hubs or trip assignment screen.</t>
  </si>
  <si>
    <t xml:space="preserve">COU-TRIP-002</t>
  </si>
  <si>
    <t xml:space="preserve">Accept the trip</t>
  </si>
  <si>
    <t xml:space="preserve">TRIP-1 is Accepted and Start Loading is available. Logistics 1 sees Courier 1 accepted it, with the time.</t>
  </si>
  <si>
    <t xml:space="preserve">COU-TRIP-003</t>
  </si>
  <si>
    <t xml:space="preserve">Decline a trip with a reason</t>
  </si>
  <si>
    <t xml:space="preserve">Step 1 is blocked. After step 2 TRIP-1 is back to Unassigned for Logistics 1, with the reason shown. Courier 1 gets ₱0.00 for it.</t>
  </si>
  <si>
    <t xml:space="preserve">COU-TRIP-004</t>
  </si>
  <si>
    <t xml:space="preserve">Only one active trip per courier</t>
  </si>
  <si>
    <t xml:space="preserve">Courier 1 is not listed, or the assignment is blocked with a message that the courier already has a trip.</t>
  </si>
  <si>
    <t xml:space="preserve">COU-TRIP-005</t>
  </si>
  <si>
    <t xml:space="preserve">Accept and reassignment at the same moment</t>
  </si>
  <si>
    <t xml:space="preserve">Exactly one courier has TRIP-1, and Logistics 1 shows the same courier. The other side gets a clear 'already assigned' message.</t>
  </si>
  <si>
    <t xml:space="preserve">Concurrent accept vs reassignment needs the backend.</t>
  </si>
  <si>
    <t xml:space="preserve">COU-TRIP-006</t>
  </si>
  <si>
    <t xml:space="preserve">Cannot accept another company's trip</t>
  </si>
  <si>
    <t xml:space="preserve">Rejected (403 or not found). The trip is unchanged.</t>
  </si>
  <si>
    <t xml:space="preserve">COU-TRIP-007</t>
  </si>
  <si>
    <t xml:space="preserve">[Mobile] Trip notification while the phone is locked</t>
  </si>
  <si>
    <t xml:space="preserve">A push notification with sound arrives while the phone is locked. Tapping it opens TRIP-1's details.</t>
  </si>
  <si>
    <t xml:space="preserve">COU-TRIP-008</t>
  </si>
  <si>
    <t xml:space="preserve">[Mobile] Navigate to the destination hub</t>
  </si>
  <si>
    <t xml:space="preserve">The map app opens with HUB-PSG (Kapitolyo, Pasig) as the destination. Switching back shows the same trip.</t>
  </si>
  <si>
    <t xml:space="preserve">C4 Loading &amp; Departure</t>
  </si>
  <si>
    <t xml:space="preserve">Loading &amp; Departure</t>
  </si>
  <si>
    <t xml:space="preserve">COU-LOAD-001</t>
  </si>
  <si>
    <t xml:space="preserve">Load by scanning every parcel</t>
  </si>
  <si>
    <t xml:space="preserve">TRIP-1 becomes Loading. The counter goes from 0/5 to 5/5 and each scanned parcel is ticked.</t>
  </si>
  <si>
    <t xml:space="preserve">No parcel loading, seal number or departure step.</t>
  </si>
  <si>
    <t xml:space="preserve">COU-LOAD-002</t>
  </si>
  <si>
    <t xml:space="preserve">Scan a parcel that is not in this trip</t>
  </si>
  <si>
    <t xml:space="preserve">Both are rejected ('not in this trip' / 'not found'). The counter does not change.</t>
  </si>
  <si>
    <t xml:space="preserve">COU-LOAD-003</t>
  </si>
  <si>
    <t xml:space="preserve">Scan the same parcel twice</t>
  </si>
  <si>
    <t xml:space="preserve">The second scan warns 'already loaded'. The parcel is counted once.</t>
  </si>
  <si>
    <t xml:space="preserve">COU-LOAD-004</t>
  </si>
  <si>
    <t xml:space="preserve">Depart with a parcel not loaded</t>
  </si>
  <si>
    <t xml:space="preserve">Step 1 is blocked and lists the parcel not yet loaded. After the removal the counter shows 4/4, the removed parcel is back At Hub (HUB-QC) with no trip, and Depart works.</t>
  </si>
  <si>
    <t xml:space="preserve">COU-LOAD-005</t>
  </si>
  <si>
    <t xml:space="preserve">Seal number format</t>
  </si>
  <si>
    <t xml:space="preserve">Only BH-0004521 is accepted. Each 'reject' shows the format BH- followed by 7 digits, and the trip stays Loading.</t>
  </si>
  <si>
    <t xml:space="preserve">COU-LOAD-006</t>
  </si>
  <si>
    <t xml:space="preserve">Depart updates every parcel</t>
  </si>
  <si>
    <t xml:space="preserve">TRIP-1 is In Transit with the departure time. Each parcel shows In Transit (HUB-QC → HUB-PSG) once on Buyer 1's timeline, in Seller 1's order and in Logistics 1's view. The courier's name and location are not shown to the buyer.</t>
  </si>
  <si>
    <t xml:space="preserve">COU-LOAD-007</t>
  </si>
  <si>
    <t xml:space="preserve">Depart away from the origin hub</t>
  </si>
  <si>
    <t xml:space="preserve">Blocked with a message that the courier must be at HUB-QC. The trip stays Loading.</t>
  </si>
  <si>
    <t xml:space="preserve">COU-LOAD-008</t>
  </si>
  <si>
    <t xml:space="preserve">[Mobile] Scan with the camera, flashlight and manual entry</t>
  </si>
  <si>
    <t xml:space="preserve">Each parcel is loaded once, whether scanned or typed. The flashlight toggle works.</t>
  </si>
  <si>
    <t xml:space="preserve">COU-LOAD-009</t>
  </si>
  <si>
    <t xml:space="preserve">[Mobile] Loading scans with no internet</t>
  </si>
  <si>
    <t xml:space="preserve">Scans are blocked with a no-internet message, or kept as pending and sent once online. Depart is not possible while scans are pending. In the end each parcel is loaded once.</t>
  </si>
  <si>
    <t xml:space="preserve">C5 In Transit</t>
  </si>
  <si>
    <t xml:space="preserve">In Transit</t>
  </si>
  <si>
    <t xml:space="preserve">COU-TRN-001</t>
  </si>
  <si>
    <t xml:space="preserve">Live location visible to Logistics</t>
  </si>
  <si>
    <t xml:space="preserve">Logistics 1 sees Courier 1's location moving and an ETA. Buyer 1 sees In Transit only, without the courier's location.</t>
  </si>
  <si>
    <t xml:space="preserve">No in-transit trip, delay report or live location sharing.</t>
  </si>
  <si>
    <t xml:space="preserve">COU-TRN-002</t>
  </si>
  <si>
    <t xml:space="preserve">Report a delay</t>
  </si>
  <si>
    <t xml:space="preserve">Logistics 1 is notified with the reason and new ETA. TRIP-1 shows Delayed with the new ETA and is still In Transit.</t>
  </si>
  <si>
    <t xml:space="preserve">COU-TRN-003</t>
  </si>
  <si>
    <t xml:space="preserve">Delay report validation</t>
  </si>
  <si>
    <t xml:space="preserve">Steps 1 and 2 are blocked with a message. Step 3 is accepted.</t>
  </si>
  <si>
    <t xml:space="preserve">COU-TRN-004</t>
  </si>
  <si>
    <t xml:space="preserve">Vehicle breakdown and reassignment</t>
  </si>
  <si>
    <t xml:space="preserve">Courier 1 is told the trip was reassigned. Courier 2 cannot continue until all 5 parcels are scanned again. The parcels stay In Transit. The reassignment is logged with the reason. The ₱1,000.00 pay goes to Courier 2 only.</t>
  </si>
  <si>
    <t xml:space="preserve">COU-TRN-005</t>
  </si>
  <si>
    <t xml:space="preserve">Cannot mark Arrived far from the destination hub</t>
  </si>
  <si>
    <t xml:space="preserve">Blocked with a message that the courier must be at HUB-PSG. The trip stays In Transit.</t>
  </si>
  <si>
    <t xml:space="preserve">COU-TRN-006</t>
  </si>
  <si>
    <t xml:space="preserve">[Mobile] App closed during the trip</t>
  </si>
  <si>
    <t xml:space="preserve">While closed, Logistics 1 sees the last known location and time. Reopening shows TRIP-1 still In Transit with the same parcels and seal, and location updates resume.</t>
  </si>
  <si>
    <t xml:space="preserve">COU-TRN-007</t>
  </si>
  <si>
    <t xml:space="preserve">[Mobile] No signal on the route</t>
  </si>
  <si>
    <t xml:space="preserve">The app shows it is offline and does not crash. Afterwards the route fills in (or shows a clear gap), the trip status is unchanged and no event is duplicated.</t>
  </si>
  <si>
    <t xml:space="preserve">C6 Arrival &amp; Handover</t>
  </si>
  <si>
    <t xml:space="preserve">Arrival &amp; Handover</t>
  </si>
  <si>
    <t xml:space="preserve">COU-ARR-001</t>
  </si>
  <si>
    <t xml:space="preserve">Arrive and hand over every parcel</t>
  </si>
  <si>
    <t xml:space="preserve">TRIP-1 goes Arrived → Completed. Each parcel is At Hub (HUB-PSG) on Buyer 1's timeline and in Seller 1's order. Courier 1's pay rises by ₱1,000.00 and Courier 1 can take a new trip.</t>
  </si>
  <si>
    <t xml:space="preserve">No arrival, handover or unloading step.</t>
  </si>
  <si>
    <t xml:space="preserve">COU-ARR-002</t>
  </si>
  <si>
    <t xml:space="preserve">Seal number does not match</t>
  </si>
  <si>
    <t xml:space="preserve">TRIP-1 is flagged Seal Discrepancy and Logistics 1 is notified. Receiving continues only after a note. The discrepancy is logged.</t>
  </si>
  <si>
    <t xml:space="preserve">COU-ARR-003</t>
  </si>
  <si>
    <t xml:space="preserve">Parcel missing at unloading</t>
  </si>
  <si>
    <t xml:space="preserve">Closing asks for confirmation and lists the missing parcel. That parcel becomes Missing in Transit, TRIP-1 is Completed with Discrepancy, Logistics 1 and Seller 1 are notified, and Courier 1 must add a note.</t>
  </si>
  <si>
    <t xml:space="preserve">COU-ARR-004</t>
  </si>
  <si>
    <t xml:space="preserve">Damaged parcel at unloading</t>
  </si>
  <si>
    <t xml:space="preserve">Step 1 is blocked. Step 2 saves the photo; the parcel shows Damaged and the trip is Completed with Discrepancy.</t>
  </si>
  <si>
    <t xml:space="preserve">COU-ARR-005</t>
  </si>
  <si>
    <t xml:space="preserve">Parcel scanned in at the wrong hub</t>
  </si>
  <si>
    <t xml:space="preserve">Rejected with a message that the parcel belongs to HUB-PSG. Its status does not change.</t>
  </si>
  <si>
    <t xml:space="preserve">COU-ARR-006</t>
  </si>
  <si>
    <t xml:space="preserve">Courier cannot confirm their own handover</t>
  </si>
  <si>
    <t xml:space="preserve">Refused (403). TRIP-1 stays Arrived until hub staff close receiving.</t>
  </si>
  <si>
    <t xml:space="preserve">Handover confirmation is a server rule.</t>
  </si>
  <si>
    <t xml:space="preserve">COU-ARR-007</t>
  </si>
  <si>
    <t xml:space="preserve">[Mobile] Trip-completed push notification</t>
  </si>
  <si>
    <t xml:space="preserve">Courier 1 gets one push notification that TRIP-1 is completed with ₱1,000.00 earned. Tapping it opens the trip summary.</t>
  </si>
  <si>
    <t xml:space="preserve">C7 Trip History &amp; Pay</t>
  </si>
  <si>
    <t xml:space="preserve">Trip History &amp; Pay</t>
  </si>
  <si>
    <t xml:space="preserve">COU-PAY-001</t>
  </si>
  <si>
    <t xml:space="preserve">Trip history</t>
  </si>
  <si>
    <t xml:space="preserve">Every trip is listed once with date, trip ID, route, number of parcels, result (Completed, Completed with Discrepancy, Declined, Reassigned) and pay.</t>
  </si>
  <si>
    <t xml:space="preserve">No trip history or per-trip pay. The Earnings tab shows per-delivery fees only.</t>
  </si>
  <si>
    <t xml:space="preserve">COU-PAY-002</t>
  </si>
  <si>
    <t xml:space="preserve">Pay per trip and daily total</t>
  </si>
  <si>
    <t xml:space="preserve">Today's total is exactly ₱2,000.00 (2 × ₱1,000.00 + ₱0.00 + ₱0.00). The weekly total includes it.</t>
  </si>
  <si>
    <t xml:space="preserve">COU-PAY-003</t>
  </si>
  <si>
    <t xml:space="preserve">Pay by vehicle type</t>
  </si>
  <si>
    <t xml:space="preserve">The trip pays ₱600.00.</t>
  </si>
  <si>
    <t xml:space="preserve">COU-PAY-004</t>
  </si>
  <si>
    <t xml:space="preserve">Date filter boundaries</t>
  </si>
  <si>
    <t xml:space="preserve">Trips on the start and end dates are included. The invalid range is rejected.</t>
  </si>
  <si>
    <t xml:space="preserve">COU-PAY-005</t>
  </si>
  <si>
    <t xml:space="preserve">Cannot view another courier's pay</t>
  </si>
  <si>
    <t xml:space="preserve">Ownership of pay data is a server rule.</t>
  </si>
  <si>
    <t xml:space="preserve">COU-PAY-006</t>
  </si>
  <si>
    <t xml:space="preserve">[Mobile] Earnings update after a trip is completed</t>
  </si>
  <si>
    <t xml:space="preserve">Today's total rises by ₱1,000.00 once; pulling to refresh again does not add it twice.</t>
  </si>
  <si>
    <t xml:space="preserve">R1 Profile &amp; Vehicle</t>
  </si>
  <si>
    <t xml:space="preserve">RID-PROF-001</t>
  </si>
  <si>
    <t xml:space="preserve">View profile, vehicle and verification status</t>
  </si>
  <si>
    <t xml:space="preserve">Shows Pedro Jose Garcia, license N01-23-456789, expiry 03/22/2030, Motorcycle, plate 123ABC, company Bilis Hatid Express Inc., status Active. Both documents open.</t>
  </si>
  <si>
    <t xml:space="preserve">Profile shows name, contact and address. Vehicle, plate, license, expiry and verification status are collected at sign-up but not shown.</t>
  </si>
  <si>
    <t xml:space="preserve">The app's Courier role does pickup and delivery, so it is the closest match to this Rider plan.</t>
  </si>
  <si>
    <t xml:space="preserve">RID-PROF-002</t>
  </si>
  <si>
    <t xml:space="preserve">Update vehicle details</t>
  </si>
  <si>
    <t xml:space="preserve">The change is saved and shown to Logistics 1 with the new OR/CR, flagged for re-verification. The old plate is no longer shown.</t>
  </si>
  <si>
    <t xml:space="preserve">No vehicle edit and no re-verification flag.</t>
  </si>
  <si>
    <t xml:space="preserve">RID-PROF-003</t>
  </si>
  <si>
    <t xml:space="preserve">Plate number already used</t>
  </si>
  <si>
    <t xml:space="preserve">Both are blocked as already registered. The plate stays 123ABC.</t>
  </si>
  <si>
    <t xml:space="preserve">RID-PROF-004</t>
  </si>
  <si>
    <t xml:space="preserve">RID-PROF-005</t>
  </si>
  <si>
    <t xml:space="preserve">Uploads are photos from camera or gallery. No 5 MB or file-type check.</t>
  </si>
  <si>
    <t xml:space="preserve">RID-PROF-006</t>
  </si>
  <si>
    <t xml:space="preserve">Suspended rider cannot work</t>
  </si>
  <si>
    <t xml:space="preserve">Rider 3 cannot go Online and sees a suspension message. Rider 3 receives no offer and is not selectable for manual assignment.</t>
  </si>
  <si>
    <t xml:space="preserve">No suspension state.</t>
  </si>
  <si>
    <t xml:space="preserve">RID-PROF-007</t>
  </si>
  <si>
    <t xml:space="preserve">Rider cannot see another rider's profile</t>
  </si>
  <si>
    <t xml:space="preserve">Denied. No Rider 2 data is shown.</t>
  </si>
  <si>
    <t xml:space="preserve">Profile ownership is a server rule.</t>
  </si>
  <si>
    <t xml:space="preserve">RID-PROF-008</t>
  </si>
  <si>
    <t xml:space="preserve">Both are accepted with previews, and Logistics 1 sees the new documents flagged for re-verification, as in RID-PROF-002.</t>
  </si>
  <si>
    <t xml:space="preserve">R2 Availability</t>
  </si>
  <si>
    <t xml:space="preserve">Availability</t>
  </si>
  <si>
    <t xml:space="preserve">RID-AVAIL-001</t>
  </si>
  <si>
    <t xml:space="preserve">Go Online</t>
  </si>
  <si>
    <t xml:space="preserve">Logistics 1 sees Rider 1 as Online within a few seconds. Rider 1 receives the offer.</t>
  </si>
  <si>
    <t xml:space="preserve">No Online/Offline toggle, location permission or presence tracking.</t>
  </si>
  <si>
    <t xml:space="preserve">RID-AVAIL-002</t>
  </si>
  <si>
    <t xml:space="preserve">Go Offline</t>
  </si>
  <si>
    <t xml:space="preserve">Rider 1 receives no offer, and is not listed in Manual Assign. The job goes to Rider 2.</t>
  </si>
  <si>
    <t xml:space="preserve">RID-AVAIL-003</t>
  </si>
  <si>
    <t xml:space="preserve">Go Offline with an active job</t>
  </si>
  <si>
    <t xml:space="preserve">Offline is allowed. The Picked Up job stays with Rider 1 and can still be delivered. No new offers arrive.</t>
  </si>
  <si>
    <t xml:space="preserve">RID-AVAIL-004</t>
  </si>
  <si>
    <t xml:space="preserve">Offline after logout or session timeout</t>
  </si>
  <si>
    <t xml:space="preserve">Rider 1 shows Offline and gets no offer.</t>
  </si>
  <si>
    <t xml:space="preserve">RID-AVAIL-005</t>
  </si>
  <si>
    <t xml:space="preserve">[Mobile] Location permission needed to go Online</t>
  </si>
  <si>
    <t xml:space="preserve">Step 1: Online is blocked with a message that location is needed and a link to Settings; no crash. Step 2: Rider 1 goes Online. Logistics 1 sees Rider 1 Online with a current location.</t>
  </si>
  <si>
    <t xml:space="preserve">RID-AVAIL-006</t>
  </si>
  <si>
    <t xml:space="preserve">[Mobile] Location turned off while Online</t>
  </si>
  <si>
    <t xml:space="preserve">The app warns that location is off. Rider 1 gets no new offer while location is off. After turning it back on, the rider can receive offers again.</t>
  </si>
  <si>
    <t xml:space="preserve">RID-AVAIL-007</t>
  </si>
  <si>
    <t xml:space="preserve">[Mobile] App force-closed while Online</t>
  </si>
  <si>
    <t xml:space="preserve">Within 5 minutes Rider 1 shows Offline and gets no new offer. The Assigned job stays with Rider 1 and is shown again when the app is reopened.</t>
  </si>
  <si>
    <t xml:space="preserve">R3 Job Assignment</t>
  </si>
  <si>
    <t xml:space="preserve">Job Assignment</t>
  </si>
  <si>
    <t xml:space="preserve">RID-JOB-001</t>
  </si>
  <si>
    <t xml:space="preserve">View and accept a job</t>
  </si>
  <si>
    <t xml:space="preserve">The offer shows pickup (Seller 1, Commonwealth, QC), drop-off area (Brgy. Central, QC), COD ₱500.00 and pay ₱30.00 pickup. After Accept, the job is Assigned to Rider 1 and Logistics 1 sees Rider 1 as the assignee.</t>
  </si>
  <si>
    <t xml:space="preserve">Jobs list pickup, drop-off area and package. No COD amount; jobs are not timed offers.</t>
  </si>
  <si>
    <t xml:space="preserve">RID-JOB-002</t>
  </si>
  <si>
    <t xml:space="preserve">Decline a job</t>
  </si>
  <si>
    <t xml:space="preserve">The offer disappears for Rider 1 and is offered to Rider 2. Rider 1 is not assigned.</t>
  </si>
  <si>
    <t xml:space="preserve">No decline/offer flow.</t>
  </si>
  <si>
    <t xml:space="preserve">RID-JOB-003</t>
  </si>
  <si>
    <t xml:space="preserve">Offer timeout</t>
  </si>
  <si>
    <t xml:space="preserve">The first Accept succeeds. After 60 seconds the second offer is expired; Accept is disabled or rejected and the job goes to the next rider.</t>
  </si>
  <si>
    <t xml:space="preserve">No 60-second offer timeout.</t>
  </si>
  <si>
    <t xml:space="preserve">RID-JOB-004</t>
  </si>
  <si>
    <t xml:space="preserve">Job goes to Unassigned after 3 declines</t>
  </si>
  <si>
    <t xml:space="preserve">After the 3rd decline the job is in the Unassigned queue and no longer offered automatically.</t>
  </si>
  <si>
    <t xml:space="preserve">No Unassigned queue or 3-decline rule.</t>
  </si>
  <si>
    <t xml:space="preserve">RID-JOB-005</t>
  </si>
  <si>
    <t xml:space="preserve">Accept and manual assignment at the same moment</t>
  </si>
  <si>
    <t xml:space="preserve">Exactly one rider has the job, and Logistics 1 shows that same rider. The other side gets a clear 'already assigned' message. No duplicate job exists.</t>
  </si>
  <si>
    <t xml:space="preserve">Concurrent accept vs manual assign needs the backend.</t>
  </si>
  <si>
    <t xml:space="preserve">RID-JOB-006</t>
  </si>
  <si>
    <t xml:space="preserve">Concurrent job limit</t>
  </si>
  <si>
    <t xml:space="preserve">The 3rd is accepted. Rider 1 gets no 4th offer, and manual assign of a 4th is blocked.</t>
  </si>
  <si>
    <t xml:space="preserve">No concurrent job limit.</t>
  </si>
  <si>
    <t xml:space="preserve">RID-JOB-007</t>
  </si>
  <si>
    <t xml:space="preserve">Cannot accept another company's job</t>
  </si>
  <si>
    <t xml:space="preserve">Rejected (403 or not found). The job is unchanged.</t>
  </si>
  <si>
    <t xml:space="preserve">RID-JOB-008</t>
  </si>
  <si>
    <t xml:space="preserve">[Mobile] Job offer while the phone is locked</t>
  </si>
  <si>
    <t xml:space="preserve">A push notification with sound arrives while the phone is locked. The offer shows about 40 seconds left (counted from when it was sent, not restarted at 60). Accept works within the 60 seconds.</t>
  </si>
  <si>
    <t xml:space="preserve">RID-JOB-009</t>
  </si>
  <si>
    <t xml:space="preserve">[Mobile] Navigate to the pickup address</t>
  </si>
  <si>
    <t xml:space="preserve">The map app opens with Seller 1's pickup location (Commonwealth, Quezon City). Switching back shows the same job.</t>
  </si>
  <si>
    <t xml:space="preserve">open_maps.dart launches the maps app. Confirm on a phone.</t>
  </si>
  <si>
    <t xml:space="preserve">R4 Pickup</t>
  </si>
  <si>
    <t xml:space="preserve">Pickup</t>
  </si>
  <si>
    <t xml:space="preserve">RID-PICK-001</t>
  </si>
  <si>
    <t xml:space="preserve">Pickup details shown</t>
  </si>
  <si>
    <t xml:space="preserve">Shows Seller 1's name, pickup address, contact number, tracking number and 1 parcel.</t>
  </si>
  <si>
    <t xml:space="preserve">Shows seller and pickup address. No contact number or tracking number.</t>
  </si>
  <si>
    <t xml:space="preserve">RID-PICK-002</t>
  </si>
  <si>
    <t xml:space="preserve">Confirm pickup by scanning</t>
  </si>
  <si>
    <t xml:space="preserve">Status is Picked Up with the scan time in all three views. Buyer 1's order moves to To Receive. Seller 1 can no longer cancel. Rider 1 earns ₱30.00.</t>
  </si>
  <si>
    <t xml:space="preserve">Pickup is confirmed with the "Confirm Pickup from Seller" button. No waybill scan.</t>
  </si>
  <si>
    <t xml:space="preserve">RID-PICK-003</t>
  </si>
  <si>
    <t xml:space="preserve">Confirm pickup by typing the tracking number</t>
  </si>
  <si>
    <t xml:space="preserve">Status becomes Picked Up exactly as with a scan.</t>
  </si>
  <si>
    <t xml:space="preserve">No tracking-number entry.</t>
  </si>
  <si>
    <t xml:space="preserve">RID-PICK-004</t>
  </si>
  <si>
    <t xml:space="preserve">Wrong tracking number</t>
  </si>
  <si>
    <t xml:space="preserve">Both are rejected with 'tracking number does not match this job'. Status stays Assigned.</t>
  </si>
  <si>
    <t xml:space="preserve">No tracking-number check.</t>
  </si>
  <si>
    <t xml:space="preserve">RID-PICK-005</t>
  </si>
  <si>
    <t xml:space="preserve">Double scan at pickup</t>
  </si>
  <si>
    <t xml:space="preserve">One Picked Up event only; the second scan shows 'already picked up'. Pay counted once.</t>
  </si>
  <si>
    <t xml:space="preserve">Whether a fast double tap advances two steps needs a run.</t>
  </si>
  <si>
    <t xml:space="preserve">RID-PICK-006</t>
  </si>
  <si>
    <t xml:space="preserve">[Mobile] Camera access denied for the waybill scan</t>
  </si>
  <si>
    <t xml:space="preserve">No crash. A message explains that camera access is needed and links to Settings. Typing the tracking number gives Picked Up, as in RID-PICK-003.</t>
  </si>
  <si>
    <t xml:space="preserve">No scan, so no camera-denied flow.</t>
  </si>
  <si>
    <t xml:space="preserve">RID-PICK-007</t>
  </si>
  <si>
    <t xml:space="preserve">[Mobile] Pickup with no internet</t>
  </si>
  <si>
    <t xml:space="preserve">The scan is either blocked with a no-internet message, or saved as pending and sent once online with the original scan time. In the end there is one Picked Up event, and pickup pay is counted once.</t>
  </si>
  <si>
    <t xml:space="preserve">State is local in mock mode; offline queueing is not in the code.</t>
  </si>
  <si>
    <t xml:space="preserve">R5 Delivery</t>
  </si>
  <si>
    <t xml:space="preserve">Delivery &amp; Status Updates</t>
  </si>
  <si>
    <t xml:space="preserve">RID-DLV-001</t>
  </si>
  <si>
    <t xml:space="preserve">Deliver with proof in sequence</t>
  </si>
  <si>
    <t xml:space="preserve">Each status is shown in all views with times. After Delivered: Buyer 1 sees Delivered with the photo, Rider 1's COD balance rises by ₱500.00 and pay by ₱50.00.</t>
  </si>
  <si>
    <t xml:space="preserve">Steps run in order and each updates the buyer's order status. Buyer-side proof photo, times and rider totals need a run.</t>
  </si>
  <si>
    <t xml:space="preserve">RID-DLV-002</t>
  </si>
  <si>
    <t xml:space="preserve">Skipping a status</t>
  </si>
  <si>
    <t xml:space="preserve">Delivered is not available and a direct request is rejected. Status unchanged.</t>
  </si>
  <si>
    <t xml:space="preserve">Confirm Order Delivered only appears after Start Delivery Transit; steps cannot be skipped.</t>
  </si>
  <si>
    <t xml:space="preserve">RID-DLV-003</t>
  </si>
  <si>
    <t xml:space="preserve">Photo is required</t>
  </si>
  <si>
    <t xml:space="preserve">Both are blocked with a message. The status stays Out for Delivery.</t>
  </si>
  <si>
    <t xml:space="preserve">Confirm Order Delivered stays disabled until a proof photo is attached.</t>
  </si>
  <si>
    <t xml:space="preserve">Disabled button only; no message explains why.</t>
  </si>
  <si>
    <t xml:space="preserve">RID-DLV-004</t>
  </si>
  <si>
    <t xml:space="preserve">OTP checks</t>
  </si>
  <si>
    <t xml:space="preserve">5 digits is rejected. Each wrong OTP is rejected. After the 5th wrong entry, entry is locked for 15 minutes (the correct OTP is also refused). After 15 minutes the correct OTP works.</t>
  </si>
  <si>
    <t xml:space="preserve">No delivery OTP.</t>
  </si>
  <si>
    <t xml:space="preserve">RID-DLV-005</t>
  </si>
  <si>
    <t xml:space="preserve">COD amount must match</t>
  </si>
  <si>
    <t xml:space="preserve">₱499.99 and ₱500.01 are rejected with a mismatch message. Only ₱500.00 completes delivery.</t>
  </si>
  <si>
    <t xml:space="preserve">No COD amount entry or check.</t>
  </si>
  <si>
    <t xml:space="preserve">RID-DLV-006</t>
  </si>
  <si>
    <t xml:space="preserve">Prepaid order has no COD</t>
  </si>
  <si>
    <t xml:space="preserve">COD shows ₱0.00 / Paid; no amount is asked for, and the COD balance does not change.</t>
  </si>
  <si>
    <t xml:space="preserve">The tracker always shows Cash on Delivery; no prepaid case.</t>
  </si>
  <si>
    <t xml:space="preserve">RID-DLV-007</t>
  </si>
  <si>
    <t xml:space="preserve">Cannot update another rider's job</t>
  </si>
  <si>
    <t xml:space="preserve">Rejected. Rider 2's job is unchanged.</t>
  </si>
  <si>
    <t xml:space="preserve">Job ownership is a server rule.</t>
  </si>
  <si>
    <t xml:space="preserve">RID-DLV-008</t>
  </si>
  <si>
    <t xml:space="preserve">[Mobile] Proof-of-delivery photo must be taken live</t>
  </si>
  <si>
    <t xml:space="preserve">The gallery is not offered, or the gallery photo is refused. The live photo is accepted and Buyer 1 sees it with the delivery time.</t>
  </si>
  <si>
    <t xml:space="preserve">The picker offers Gallery as well as Camera, so a live photo is not enforced.</t>
  </si>
  <si>
    <t xml:space="preserve">RID-DLV-009</t>
  </si>
  <si>
    <t xml:space="preserve">[Mobile] Mark Delivered with no internet</t>
  </si>
  <si>
    <t xml:space="preserve">Step 1: the app clearly shows the delivery is not yet sent (or blocks it with a message) and keeps the photo, OTP and amount. Step 3: Delivered is recorded once with the photo; the COD balance rises by ₱500.00 and pay by ₱50.00 once. Nothing is lost when the app is reopened.</t>
  </si>
  <si>
    <t xml:space="preserve">No offline queue in the code; mock mode never uses the network.</t>
  </si>
  <si>
    <t xml:space="preserve">RID-DLV-010</t>
  </si>
  <si>
    <t xml:space="preserve">[Mobile] Call or message the buyer from the job</t>
  </si>
  <si>
    <t xml:space="preserve">The phone dialer opens with Buyer 1's number (or a masked relay number). Messaging opens a conversation with Buyer 1. No other buyer's number is shown.</t>
  </si>
  <si>
    <t xml:space="preserve">No call or message to the buyer from the job.</t>
  </si>
  <si>
    <t xml:space="preserve">RID-DLV-011</t>
  </si>
  <si>
    <t xml:space="preserve">[Mobile] Delivery location is recorded</t>
  </si>
  <si>
    <t xml:space="preserve">The record shows the GPS location and time of the delivery, close to ADDR-1.</t>
  </si>
  <si>
    <t xml:space="preserve">No GPS location recorded.</t>
  </si>
  <si>
    <t xml:space="preserve">R6 Failed Delivery</t>
  </si>
  <si>
    <t xml:space="preserve">Failed Delivery</t>
  </si>
  <si>
    <t xml:space="preserve">RID-FAIL-001</t>
  </si>
  <si>
    <t xml:space="preserve">Mark failed with a reason</t>
  </si>
  <si>
    <t xml:space="preserve">Status Failed Delivery, attempt 1 of 3, with the reason. Buyer 1 and Logistics 1 are notified. No COD is collected and pay is ₱0.00 for the attempt.</t>
  </si>
  <si>
    <t xml:space="preserve">Mark Delivery Failed has no reason, attempt counter or buyer/Logistics notification.</t>
  </si>
  <si>
    <t xml:space="preserve">RID-FAIL-002</t>
  </si>
  <si>
    <t xml:space="preserve">Reason required</t>
  </si>
  <si>
    <t xml:space="preserve">Blocked; status unchanged.</t>
  </si>
  <si>
    <t xml:space="preserve">No reason is asked for.</t>
  </si>
  <si>
    <t xml:space="preserve">RID-FAIL-003</t>
  </si>
  <si>
    <t xml:space="preserve">Refused goes straight to Return to Sender</t>
  </si>
  <si>
    <t xml:space="preserve">Status Return to Sender immediately; no further attempt is scheduled.</t>
  </si>
  <si>
    <t xml:space="preserve">No "Refused" reason. Return to Sender exists only as a step.</t>
  </si>
  <si>
    <t xml:space="preserve">RID-FAIL-004</t>
  </si>
  <si>
    <t xml:space="preserve">Attempt counter and reschedule</t>
  </si>
  <si>
    <t xml:space="preserve">The job shows attempt 2 of 3 and completes normally on success.</t>
  </si>
  <si>
    <t xml:space="preserve">No attempt counter. Retry Delivery returns the job to In Transit.</t>
  </si>
  <si>
    <t xml:space="preserve">RID-FAIL-005</t>
  </si>
  <si>
    <t xml:space="preserve">Return to Sender after the 3rd failed attempt</t>
  </si>
  <si>
    <t xml:space="preserve">Status Return to Sender. No 4th attempt is possible. Buyer 1 and Seller 1 are notified.</t>
  </si>
  <si>
    <t xml:space="preserve">No 3-attempt rule.</t>
  </si>
  <si>
    <t xml:space="preserve">R7 Earnings &amp; COD</t>
  </si>
  <si>
    <t xml:space="preserve">History, Earnings &amp; COD Remittance</t>
  </si>
  <si>
    <t xml:space="preserve">RID-EARN-001</t>
  </si>
  <si>
    <t xml:space="preserve">Delivery history</t>
  </si>
  <si>
    <t xml:space="preserve">Every job is listed once with date, tracking number, result and pay.</t>
  </si>
  <si>
    <t xml:space="preserve">The Earnings tab lists completed jobs with pay. Tracking number and result columns need a phone check.</t>
  </si>
  <si>
    <t xml:space="preserve">RID-EARN-002</t>
  </si>
  <si>
    <t xml:space="preserve">Pay per job and daily total</t>
  </si>
  <si>
    <t xml:space="preserve">Today's total is exactly ₱210.00 (2 × ₱30 + 3 × ₱50 + 1 × ₱0). The weekly total includes it.</t>
  </si>
  <si>
    <t xml:space="preserve">Pay per job and today's total are calculated in the app. The P30/P50 amounts in the plan are not confirmed.</t>
  </si>
  <si>
    <t xml:space="preserve">RID-EARN-003</t>
  </si>
  <si>
    <t xml:space="preserve">COD balance to remit</t>
  </si>
  <si>
    <t xml:space="preserve">Balance shows ₱1,800.00 with both orders listed.</t>
  </si>
  <si>
    <t xml:space="preserve">No COD balance.</t>
  </si>
  <si>
    <t xml:space="preserve">RID-EARN-004</t>
  </si>
  <si>
    <t xml:space="preserve">Remit COD and confirmation</t>
  </si>
  <si>
    <t xml:space="preserve">Before confirmation the remittance is Pending and the balance still shows ₱1,800.00 pending. After confirmation the balance is ₱0.00.</t>
  </si>
  <si>
    <t xml:space="preserve">No remittance flow.</t>
  </si>
  <si>
    <t xml:space="preserve">RID-EARN-005</t>
  </si>
  <si>
    <t xml:space="preserve">Short remittance</t>
  </si>
  <si>
    <t xml:space="preserve">Logistics 1 sees a ₱50.00 shortfall flag; Rider 1's balance shows ₱50.00 outstanding after confirmation.</t>
  </si>
  <si>
    <t xml:space="preserve">RID-EARN-006</t>
  </si>
  <si>
    <t xml:space="preserve">Rider cannot confirm own remittance</t>
  </si>
  <si>
    <t xml:space="preserve">Rejected (403).</t>
  </si>
  <si>
    <t xml:space="preserve">No remittance in the app; confirmation rules are a server concern.</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</si>
</sst>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2"/>
  </cols>
  <sheetData>
    <row r="1" customFormat="false" ht="17.35" hidden="false" customHeight="false" outlineLevel="0" collapsed="false">
      <c r="A1" s="1" t="s">
        <v>0</v>
      </c>
    </row>
    <row r="2" customFormat="false" ht="39.75" hidden="false" customHeight="true" outlineLevel="0" collapsed="false">
      <c r="A2" s="2" t="s">
        <v>1</v>
      </c>
      <c r="B2" s="2"/>
      <c r="C2" s="2"/>
      <c r="D2" s="2"/>
      <c r="E2" s="2"/>
      <c r="F2" s="2"/>
      <c r="G2" s="2"/>
    </row>
    <row r="4" customFormat="false" ht="1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s">
        <v>9</v>
      </c>
      <c r="B5" s="4" t="n">
        <f aca="false">COUNTIF('All Results'!$A$2:$A$378,A5)</f>
        <v>42</v>
      </c>
      <c r="C5" s="4" t="n">
        <f aca="false">COUNTIFS('All Results'!$A$2:$A$378,$A5,'All Results'!$H$2:$H$378,"Pass")</f>
        <v>18</v>
      </c>
      <c r="D5" s="4" t="n">
        <f aca="false">COUNTIFS('All Results'!$A$2:$A$378,$A5,'All Results'!$H$2:$H$378,"Fail")</f>
        <v>9</v>
      </c>
      <c r="E5" s="4" t="n">
        <f aca="false">COUNTIFS('All Results'!$A$2:$A$378,$A5,'All Results'!$H$2:$H$378,"Blocked")</f>
        <v>15</v>
      </c>
      <c r="F5" s="4" t="n">
        <f aca="false">B5-C5-D5-E5</f>
        <v>0</v>
      </c>
      <c r="G5" s="5" t="n">
        <f aca="false">IF(B5=0,0,C5/B5)</f>
        <v>0.428571428571429</v>
      </c>
    </row>
    <row r="6" customFormat="false" ht="15" hidden="false" customHeight="false" outlineLevel="0" collapsed="false">
      <c r="A6" s="4" t="s">
        <v>10</v>
      </c>
      <c r="B6" s="4" t="n">
        <f aca="false">COUNTIF('All Results'!$A$2:$A$378,A6)</f>
        <v>52</v>
      </c>
      <c r="C6" s="4" t="n">
        <f aca="false">COUNTIFS('All Results'!$A$2:$A$378,$A6,'All Results'!$H$2:$H$378,"Pass")</f>
        <v>2</v>
      </c>
      <c r="D6" s="4" t="n">
        <f aca="false">COUNTIFS('All Results'!$A$2:$A$378,$A6,'All Results'!$H$2:$H$378,"Fail")</f>
        <v>9</v>
      </c>
      <c r="E6" s="4" t="n">
        <f aca="false">COUNTIFS('All Results'!$A$2:$A$378,$A6,'All Results'!$H$2:$H$378,"Blocked")</f>
        <v>41</v>
      </c>
      <c r="F6" s="4" t="n">
        <f aca="false">B6-C6-D6-E6</f>
        <v>0</v>
      </c>
      <c r="G6" s="5" t="n">
        <f aca="false">IF(B6=0,0,C6/B6)</f>
        <v>0.0384615384615385</v>
      </c>
    </row>
    <row r="7" customFormat="false" ht="15" hidden="false" customHeight="false" outlineLevel="0" collapsed="false">
      <c r="A7" s="4" t="s">
        <v>11</v>
      </c>
      <c r="B7" s="4" t="n">
        <f aca="false">COUNTIF('All Results'!$A$2:$A$378,A7)</f>
        <v>47</v>
      </c>
      <c r="C7" s="4" t="n">
        <f aca="false">COUNTIFS('All Results'!$A$2:$A$378,$A7,'All Results'!$H$2:$H$378,"Pass")</f>
        <v>1</v>
      </c>
      <c r="D7" s="4" t="n">
        <f aca="false">COUNTIFS('All Results'!$A$2:$A$378,$A7,'All Results'!$H$2:$H$378,"Fail")</f>
        <v>8</v>
      </c>
      <c r="E7" s="4" t="n">
        <f aca="false">COUNTIFS('All Results'!$A$2:$A$378,$A7,'All Results'!$H$2:$H$378,"Blocked")</f>
        <v>38</v>
      </c>
      <c r="F7" s="4" t="n">
        <f aca="false">B7-C7-D7-E7</f>
        <v>0</v>
      </c>
      <c r="G7" s="5" t="n">
        <f aca="false">IF(B7=0,0,C7/B7)</f>
        <v>0.0212765957446809</v>
      </c>
    </row>
    <row r="8" customFormat="false" ht="15" hidden="false" customHeight="false" outlineLevel="0" collapsed="false">
      <c r="A8" s="4" t="s">
        <v>12</v>
      </c>
      <c r="B8" s="4" t="n">
        <f aca="false">COUNTIF('All Results'!$A$2:$A$378,A8)</f>
        <v>131</v>
      </c>
      <c r="C8" s="4" t="n">
        <f aca="false">COUNTIFS('All Results'!$A$2:$A$378,$A8,'All Results'!$H$2:$H$378,"Pass")</f>
        <v>21</v>
      </c>
      <c r="D8" s="4" t="n">
        <f aca="false">COUNTIFS('All Results'!$A$2:$A$378,$A8,'All Results'!$H$2:$H$378,"Fail")</f>
        <v>85</v>
      </c>
      <c r="E8" s="4" t="n">
        <f aca="false">COUNTIFS('All Results'!$A$2:$A$378,$A8,'All Results'!$H$2:$H$378,"Blocked")</f>
        <v>25</v>
      </c>
      <c r="F8" s="4" t="n">
        <f aca="false">B8-C8-D8-E8</f>
        <v>0</v>
      </c>
      <c r="G8" s="5" t="n">
        <f aca="false">IF(B8=0,0,C8/B8)</f>
        <v>0.16030534351145</v>
      </c>
    </row>
    <row r="9" customFormat="false" ht="15" hidden="false" customHeight="false" outlineLevel="0" collapsed="false">
      <c r="A9" s="4" t="s">
        <v>13</v>
      </c>
      <c r="B9" s="4" t="n">
        <f aca="false">COUNTIF('All Results'!$A$2:$A$378,A9)</f>
        <v>52</v>
      </c>
      <c r="C9" s="4" t="n">
        <f aca="false">COUNTIFS('All Results'!$A$2:$A$378,$A9,'All Results'!$H$2:$H$378,"Pass")</f>
        <v>0</v>
      </c>
      <c r="D9" s="4" t="n">
        <f aca="false">COUNTIFS('All Results'!$A$2:$A$378,$A9,'All Results'!$H$2:$H$378,"Fail")</f>
        <v>46</v>
      </c>
      <c r="E9" s="4" t="n">
        <f aca="false">COUNTIFS('All Results'!$A$2:$A$378,$A9,'All Results'!$H$2:$H$378,"Blocked")</f>
        <v>6</v>
      </c>
      <c r="F9" s="4" t="n">
        <f aca="false">B9-C9-D9-E9</f>
        <v>0</v>
      </c>
      <c r="G9" s="5" t="n">
        <f aca="false">IF(B9=0,0,C9/B9)</f>
        <v>0</v>
      </c>
    </row>
    <row r="10" customFormat="false" ht="15" hidden="false" customHeight="false" outlineLevel="0" collapsed="false">
      <c r="A10" s="4" t="s">
        <v>14</v>
      </c>
      <c r="B10" s="4" t="n">
        <f aca="false">COUNTIF('All Results'!$A$2:$A$378,A10)</f>
        <v>53</v>
      </c>
      <c r="C10" s="4" t="n">
        <f aca="false">COUNTIFS('All Results'!$A$2:$A$378,$A10,'All Results'!$H$2:$H$378,"Pass")</f>
        <v>2</v>
      </c>
      <c r="D10" s="4" t="n">
        <f aca="false">COUNTIFS('All Results'!$A$2:$A$378,$A10,'All Results'!$H$2:$H$378,"Fail")</f>
        <v>39</v>
      </c>
      <c r="E10" s="4" t="n">
        <f aca="false">COUNTIFS('All Results'!$A$2:$A$378,$A10,'All Results'!$H$2:$H$378,"Blocked")</f>
        <v>12</v>
      </c>
      <c r="F10" s="4" t="n">
        <f aca="false">B10-C10-D10-E10</f>
        <v>0</v>
      </c>
      <c r="G10" s="5" t="n">
        <f aca="false">IF(B10=0,0,C10/B10)</f>
        <v>0.0377358490566038</v>
      </c>
    </row>
    <row r="11" customFormat="false" ht="15" hidden="false" customHeight="false" outlineLevel="0" collapsed="false">
      <c r="A11" s="6" t="s">
        <v>3</v>
      </c>
      <c r="B11" s="6" t="n">
        <f aca="false">SUM(B5:B10)</f>
        <v>377</v>
      </c>
      <c r="C11" s="6" t="n">
        <f aca="false">SUM(C5:C10)</f>
        <v>44</v>
      </c>
      <c r="D11" s="6" t="n">
        <f aca="false">SUM(D5:D10)</f>
        <v>196</v>
      </c>
      <c r="E11" s="6" t="n">
        <f aca="false">SUM(E5:E10)</f>
        <v>137</v>
      </c>
      <c r="F11" s="6" t="n">
        <f aca="false">SUM(F5:F10)</f>
        <v>0</v>
      </c>
      <c r="G11" s="7" t="n">
        <f aca="false">IF(B11=0,0,C11/B11)</f>
        <v>0.116710875331565</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18"/>
    <col collapsed="false" customWidth="true" hidden="false" outlineLevel="0" max="4" min="4" style="0" width="16"/>
    <col collapsed="false" customWidth="true" hidden="false" outlineLevel="0" max="5" min="5" style="0" width="40"/>
    <col collapsed="false" customWidth="true" hidden="false" outlineLevel="0" max="7" min="6" style="0" width="50"/>
    <col collapsed="false" customWidth="true" hidden="false" outlineLevel="0" max="8" min="8" style="0" width="10"/>
    <col collapsed="false" customWidth="true" hidden="false" outlineLevel="0" max="9" min="9" style="0" width="45"/>
  </cols>
  <sheetData>
    <row r="1" customFormat="false" ht="15" hidden="false" customHeight="false" outlineLevel="0" collapsed="false">
      <c r="A1" s="8" t="s">
        <v>2</v>
      </c>
      <c r="B1" s="8" t="s">
        <v>15</v>
      </c>
      <c r="C1" s="8" t="s">
        <v>16</v>
      </c>
      <c r="D1" s="8" t="s">
        <v>17</v>
      </c>
      <c r="E1" s="8" t="s">
        <v>18</v>
      </c>
      <c r="F1" s="8" t="s">
        <v>19</v>
      </c>
      <c r="G1" s="8" t="s">
        <v>20</v>
      </c>
      <c r="H1" s="8" t="s">
        <v>21</v>
      </c>
      <c r="I1" s="8" t="s">
        <v>22</v>
      </c>
    </row>
    <row r="2" customFormat="false" ht="46.25" hidden="false" customHeight="false" outlineLevel="0" collapsed="false">
      <c r="A2" s="9" t="s">
        <v>9</v>
      </c>
      <c r="B2" s="9" t="s">
        <v>23</v>
      </c>
      <c r="C2" s="9" t="s">
        <v>24</v>
      </c>
      <c r="D2" s="9" t="s">
        <v>25</v>
      </c>
      <c r="E2" s="9" t="s">
        <v>26</v>
      </c>
      <c r="F2" s="9" t="s">
        <v>27</v>
      </c>
      <c r="G2" s="9" t="s">
        <v>28</v>
      </c>
      <c r="H2" s="9" t="s">
        <v>6</v>
      </c>
      <c r="I2" s="9" t="s">
        <v>29</v>
      </c>
    </row>
    <row r="3" customFormat="false" ht="35.05" hidden="false" customHeight="false" outlineLevel="0" collapsed="false">
      <c r="A3" s="9" t="s">
        <v>9</v>
      </c>
      <c r="B3" s="9" t="s">
        <v>23</v>
      </c>
      <c r="C3" s="9" t="s">
        <v>30</v>
      </c>
      <c r="D3" s="9" t="s">
        <v>31</v>
      </c>
      <c r="E3" s="9" t="s">
        <v>32</v>
      </c>
      <c r="F3" s="9" t="s">
        <v>33</v>
      </c>
      <c r="G3" s="9" t="s">
        <v>34</v>
      </c>
      <c r="H3" s="9" t="s">
        <v>4</v>
      </c>
      <c r="I3" s="9" t="s">
        <v>35</v>
      </c>
    </row>
    <row r="4" customFormat="false" ht="46.25" hidden="false" customHeight="false" outlineLevel="0" collapsed="false">
      <c r="A4" s="9" t="s">
        <v>9</v>
      </c>
      <c r="B4" s="9" t="s">
        <v>23</v>
      </c>
      <c r="C4" s="9" t="s">
        <v>30</v>
      </c>
      <c r="D4" s="9" t="s">
        <v>36</v>
      </c>
      <c r="E4" s="9" t="s">
        <v>37</v>
      </c>
      <c r="F4" s="9" t="s">
        <v>38</v>
      </c>
      <c r="G4" s="9" t="s">
        <v>39</v>
      </c>
      <c r="H4" s="9" t="s">
        <v>4</v>
      </c>
      <c r="I4" s="9"/>
    </row>
    <row r="5" customFormat="false" ht="23.85" hidden="false" customHeight="false" outlineLevel="0" collapsed="false">
      <c r="A5" s="9" t="s">
        <v>9</v>
      </c>
      <c r="B5" s="9" t="s">
        <v>23</v>
      </c>
      <c r="C5" s="9" t="s">
        <v>40</v>
      </c>
      <c r="D5" s="9" t="s">
        <v>41</v>
      </c>
      <c r="E5" s="9" t="s">
        <v>42</v>
      </c>
      <c r="F5" s="9" t="s">
        <v>43</v>
      </c>
      <c r="G5" s="9" t="s">
        <v>44</v>
      </c>
      <c r="H5" s="9" t="s">
        <v>5</v>
      </c>
      <c r="I5" s="9" t="s">
        <v>45</v>
      </c>
    </row>
    <row r="6" customFormat="false" ht="23.85" hidden="false" customHeight="false" outlineLevel="0" collapsed="false">
      <c r="A6" s="9" t="s">
        <v>9</v>
      </c>
      <c r="B6" s="9" t="s">
        <v>23</v>
      </c>
      <c r="C6" s="9" t="s">
        <v>40</v>
      </c>
      <c r="D6" s="9" t="s">
        <v>46</v>
      </c>
      <c r="E6" s="9" t="s">
        <v>47</v>
      </c>
      <c r="F6" s="9" t="s">
        <v>48</v>
      </c>
      <c r="G6" s="9" t="s">
        <v>49</v>
      </c>
      <c r="H6" s="9" t="s">
        <v>4</v>
      </c>
      <c r="I6" s="9"/>
    </row>
    <row r="7" customFormat="false" ht="35.05" hidden="false" customHeight="false" outlineLevel="0" collapsed="false">
      <c r="A7" s="9" t="s">
        <v>9</v>
      </c>
      <c r="B7" s="9" t="s">
        <v>23</v>
      </c>
      <c r="C7" s="9" t="s">
        <v>40</v>
      </c>
      <c r="D7" s="9" t="s">
        <v>50</v>
      </c>
      <c r="E7" s="9" t="s">
        <v>51</v>
      </c>
      <c r="F7" s="9" t="s">
        <v>52</v>
      </c>
      <c r="G7" s="9" t="s">
        <v>53</v>
      </c>
      <c r="H7" s="9" t="s">
        <v>5</v>
      </c>
      <c r="I7" s="9" t="s">
        <v>54</v>
      </c>
    </row>
    <row r="8" customFormat="false" ht="35.05" hidden="false" customHeight="false" outlineLevel="0" collapsed="false">
      <c r="A8" s="9" t="s">
        <v>9</v>
      </c>
      <c r="B8" s="9" t="s">
        <v>23</v>
      </c>
      <c r="C8" s="9" t="s">
        <v>55</v>
      </c>
      <c r="D8" s="9" t="s">
        <v>56</v>
      </c>
      <c r="E8" s="9" t="s">
        <v>57</v>
      </c>
      <c r="F8" s="9" t="s">
        <v>58</v>
      </c>
      <c r="G8" s="9" t="s">
        <v>59</v>
      </c>
      <c r="H8" s="9" t="s">
        <v>5</v>
      </c>
      <c r="I8" s="9" t="s">
        <v>60</v>
      </c>
    </row>
    <row r="9" customFormat="false" ht="23.85" hidden="false" customHeight="false" outlineLevel="0" collapsed="false">
      <c r="A9" s="9" t="s">
        <v>9</v>
      </c>
      <c r="B9" s="9" t="s">
        <v>23</v>
      </c>
      <c r="C9" s="9" t="s">
        <v>55</v>
      </c>
      <c r="D9" s="9" t="s">
        <v>61</v>
      </c>
      <c r="E9" s="9" t="s">
        <v>62</v>
      </c>
      <c r="F9" s="9" t="s">
        <v>63</v>
      </c>
      <c r="G9" s="9" t="s">
        <v>64</v>
      </c>
      <c r="H9" s="9" t="s">
        <v>4</v>
      </c>
      <c r="I9" s="9"/>
    </row>
    <row r="10" customFormat="false" ht="23.85" hidden="false" customHeight="false" outlineLevel="0" collapsed="false">
      <c r="A10" s="9" t="s">
        <v>9</v>
      </c>
      <c r="B10" s="9" t="s">
        <v>23</v>
      </c>
      <c r="C10" s="9" t="s">
        <v>65</v>
      </c>
      <c r="D10" s="9" t="s">
        <v>66</v>
      </c>
      <c r="E10" s="9" t="s">
        <v>67</v>
      </c>
      <c r="F10" s="9" t="s">
        <v>68</v>
      </c>
      <c r="G10" s="9" t="s">
        <v>69</v>
      </c>
      <c r="H10" s="9" t="s">
        <v>4</v>
      </c>
      <c r="I10" s="9"/>
    </row>
    <row r="11" customFormat="false" ht="23.85" hidden="false" customHeight="false" outlineLevel="0" collapsed="false">
      <c r="A11" s="9" t="s">
        <v>9</v>
      </c>
      <c r="B11" s="9" t="s">
        <v>23</v>
      </c>
      <c r="C11" s="9" t="s">
        <v>65</v>
      </c>
      <c r="D11" s="9" t="s">
        <v>70</v>
      </c>
      <c r="E11" s="9" t="s">
        <v>71</v>
      </c>
      <c r="F11" s="9" t="s">
        <v>72</v>
      </c>
      <c r="G11" s="9" t="s">
        <v>73</v>
      </c>
      <c r="H11" s="9" t="s">
        <v>6</v>
      </c>
      <c r="I11" s="9" t="s">
        <v>74</v>
      </c>
    </row>
    <row r="12" customFormat="false" ht="23.85" hidden="false" customHeight="false" outlineLevel="0" collapsed="false">
      <c r="A12" s="9" t="s">
        <v>9</v>
      </c>
      <c r="B12" s="9" t="s">
        <v>23</v>
      </c>
      <c r="C12" s="9" t="s">
        <v>65</v>
      </c>
      <c r="D12" s="9" t="s">
        <v>75</v>
      </c>
      <c r="E12" s="9" t="s">
        <v>76</v>
      </c>
      <c r="F12" s="9" t="s">
        <v>77</v>
      </c>
      <c r="G12" s="9" t="s">
        <v>78</v>
      </c>
      <c r="H12" s="9" t="s">
        <v>6</v>
      </c>
      <c r="I12" s="9" t="s">
        <v>74</v>
      </c>
    </row>
    <row r="13" customFormat="false" ht="23.85" hidden="false" customHeight="false" outlineLevel="0" collapsed="false">
      <c r="A13" s="9" t="s">
        <v>9</v>
      </c>
      <c r="B13" s="9" t="s">
        <v>23</v>
      </c>
      <c r="C13" s="9" t="s">
        <v>65</v>
      </c>
      <c r="D13" s="9" t="s">
        <v>79</v>
      </c>
      <c r="E13" s="9" t="s">
        <v>80</v>
      </c>
      <c r="F13" s="9" t="s">
        <v>81</v>
      </c>
      <c r="G13" s="9" t="s">
        <v>82</v>
      </c>
      <c r="H13" s="9" t="s">
        <v>4</v>
      </c>
      <c r="I13" s="9"/>
    </row>
    <row r="14" customFormat="false" ht="23.85" hidden="false" customHeight="false" outlineLevel="0" collapsed="false">
      <c r="A14" s="9" t="s">
        <v>9</v>
      </c>
      <c r="B14" s="9" t="s">
        <v>23</v>
      </c>
      <c r="C14" s="9" t="s">
        <v>83</v>
      </c>
      <c r="D14" s="9" t="s">
        <v>84</v>
      </c>
      <c r="E14" s="9" t="s">
        <v>85</v>
      </c>
      <c r="F14" s="9" t="s">
        <v>86</v>
      </c>
      <c r="G14" s="9" t="s">
        <v>87</v>
      </c>
      <c r="H14" s="9" t="s">
        <v>4</v>
      </c>
      <c r="I14" s="9"/>
    </row>
    <row r="15" customFormat="false" ht="23.85" hidden="false" customHeight="false" outlineLevel="0" collapsed="false">
      <c r="A15" s="9" t="s">
        <v>9</v>
      </c>
      <c r="B15" s="9" t="s">
        <v>23</v>
      </c>
      <c r="C15" s="9" t="s">
        <v>83</v>
      </c>
      <c r="D15" s="9" t="s">
        <v>88</v>
      </c>
      <c r="E15" s="9" t="s">
        <v>89</v>
      </c>
      <c r="F15" s="9" t="s">
        <v>90</v>
      </c>
      <c r="G15" s="9" t="s">
        <v>91</v>
      </c>
      <c r="H15" s="9" t="s">
        <v>4</v>
      </c>
      <c r="I15" s="9" t="s">
        <v>92</v>
      </c>
    </row>
    <row r="16" customFormat="false" ht="23.85" hidden="false" customHeight="false" outlineLevel="0" collapsed="false">
      <c r="A16" s="9" t="s">
        <v>9</v>
      </c>
      <c r="B16" s="9" t="s">
        <v>23</v>
      </c>
      <c r="C16" s="9" t="s">
        <v>83</v>
      </c>
      <c r="D16" s="9" t="s">
        <v>93</v>
      </c>
      <c r="E16" s="9" t="s">
        <v>94</v>
      </c>
      <c r="F16" s="9" t="s">
        <v>95</v>
      </c>
      <c r="G16" s="9" t="s">
        <v>96</v>
      </c>
      <c r="H16" s="9" t="s">
        <v>6</v>
      </c>
      <c r="I16" s="9" t="s">
        <v>74</v>
      </c>
    </row>
    <row r="17" customFormat="false" ht="35.05" hidden="false" customHeight="false" outlineLevel="0" collapsed="false">
      <c r="A17" s="9" t="s">
        <v>9</v>
      </c>
      <c r="B17" s="9" t="s">
        <v>23</v>
      </c>
      <c r="C17" s="9" t="s">
        <v>83</v>
      </c>
      <c r="D17" s="9" t="s">
        <v>97</v>
      </c>
      <c r="E17" s="9" t="s">
        <v>98</v>
      </c>
      <c r="F17" s="9" t="s">
        <v>99</v>
      </c>
      <c r="G17" s="9" t="s">
        <v>100</v>
      </c>
      <c r="H17" s="9" t="s">
        <v>6</v>
      </c>
      <c r="I17" s="9" t="s">
        <v>74</v>
      </c>
    </row>
    <row r="18" customFormat="false" ht="23.85" hidden="false" customHeight="false" outlineLevel="0" collapsed="false">
      <c r="A18" s="9" t="s">
        <v>9</v>
      </c>
      <c r="B18" s="9" t="s">
        <v>23</v>
      </c>
      <c r="C18" s="9" t="s">
        <v>101</v>
      </c>
      <c r="D18" s="9" t="s">
        <v>102</v>
      </c>
      <c r="E18" s="9" t="s">
        <v>103</v>
      </c>
      <c r="F18" s="9" t="s">
        <v>104</v>
      </c>
      <c r="G18" s="9" t="s">
        <v>105</v>
      </c>
      <c r="H18" s="9" t="s">
        <v>4</v>
      </c>
      <c r="I18" s="9"/>
    </row>
    <row r="19" customFormat="false" ht="23.85" hidden="false" customHeight="false" outlineLevel="0" collapsed="false">
      <c r="A19" s="9" t="s">
        <v>9</v>
      </c>
      <c r="B19" s="9" t="s">
        <v>23</v>
      </c>
      <c r="C19" s="9" t="s">
        <v>101</v>
      </c>
      <c r="D19" s="9" t="s">
        <v>106</v>
      </c>
      <c r="E19" s="9" t="s">
        <v>107</v>
      </c>
      <c r="F19" s="9" t="s">
        <v>108</v>
      </c>
      <c r="G19" s="9" t="s">
        <v>109</v>
      </c>
      <c r="H19" s="9" t="s">
        <v>5</v>
      </c>
      <c r="I19" s="9" t="s">
        <v>110</v>
      </c>
    </row>
    <row r="20" customFormat="false" ht="23.85" hidden="false" customHeight="false" outlineLevel="0" collapsed="false">
      <c r="A20" s="9" t="s">
        <v>9</v>
      </c>
      <c r="B20" s="9" t="s">
        <v>23</v>
      </c>
      <c r="C20" s="9" t="s">
        <v>101</v>
      </c>
      <c r="D20" s="9" t="s">
        <v>111</v>
      </c>
      <c r="E20" s="9" t="s">
        <v>112</v>
      </c>
      <c r="F20" s="9" t="s">
        <v>113</v>
      </c>
      <c r="G20" s="9" t="s">
        <v>114</v>
      </c>
      <c r="H20" s="9" t="s">
        <v>4</v>
      </c>
      <c r="I20" s="9"/>
    </row>
    <row r="21" customFormat="false" ht="23.85" hidden="false" customHeight="false" outlineLevel="0" collapsed="false">
      <c r="A21" s="9" t="s">
        <v>9</v>
      </c>
      <c r="B21" s="9" t="s">
        <v>23</v>
      </c>
      <c r="C21" s="9" t="s">
        <v>101</v>
      </c>
      <c r="D21" s="9" t="s">
        <v>115</v>
      </c>
      <c r="E21" s="9" t="s">
        <v>116</v>
      </c>
      <c r="F21" s="9" t="s">
        <v>117</v>
      </c>
      <c r="G21" s="9" t="s">
        <v>118</v>
      </c>
      <c r="H21" s="9" t="s">
        <v>4</v>
      </c>
      <c r="I21" s="9"/>
    </row>
    <row r="22" customFormat="false" ht="23.85" hidden="false" customHeight="false" outlineLevel="0" collapsed="false">
      <c r="A22" s="9" t="s">
        <v>9</v>
      </c>
      <c r="B22" s="9" t="s">
        <v>23</v>
      </c>
      <c r="C22" s="9" t="s">
        <v>119</v>
      </c>
      <c r="D22" s="9" t="s">
        <v>120</v>
      </c>
      <c r="E22" s="9" t="s">
        <v>121</v>
      </c>
      <c r="F22" s="9" t="s">
        <v>122</v>
      </c>
      <c r="G22" s="9" t="s">
        <v>123</v>
      </c>
      <c r="H22" s="9" t="s">
        <v>5</v>
      </c>
      <c r="I22" s="9"/>
    </row>
    <row r="23" customFormat="false" ht="23.85" hidden="false" customHeight="false" outlineLevel="0" collapsed="false">
      <c r="A23" s="9" t="s">
        <v>9</v>
      </c>
      <c r="B23" s="9" t="s">
        <v>23</v>
      </c>
      <c r="C23" s="9" t="s">
        <v>24</v>
      </c>
      <c r="D23" s="9" t="s">
        <v>124</v>
      </c>
      <c r="E23" s="9" t="s">
        <v>125</v>
      </c>
      <c r="F23" s="9" t="s">
        <v>126</v>
      </c>
      <c r="G23" s="9" t="s">
        <v>127</v>
      </c>
      <c r="H23" s="9" t="s">
        <v>4</v>
      </c>
      <c r="I23" s="9" t="s">
        <v>128</v>
      </c>
    </row>
    <row r="24" customFormat="false" ht="35.05" hidden="false" customHeight="false" outlineLevel="0" collapsed="false">
      <c r="A24" s="9" t="s">
        <v>9</v>
      </c>
      <c r="B24" s="9" t="s">
        <v>23</v>
      </c>
      <c r="C24" s="9" t="s">
        <v>129</v>
      </c>
      <c r="D24" s="9" t="s">
        <v>130</v>
      </c>
      <c r="E24" s="9" t="s">
        <v>131</v>
      </c>
      <c r="F24" s="9" t="s">
        <v>132</v>
      </c>
      <c r="G24" s="9" t="s">
        <v>133</v>
      </c>
      <c r="H24" s="9" t="s">
        <v>5</v>
      </c>
      <c r="I24" s="9" t="s">
        <v>134</v>
      </c>
    </row>
    <row r="25" customFormat="false" ht="23.85" hidden="false" customHeight="false" outlineLevel="0" collapsed="false">
      <c r="A25" s="9" t="s">
        <v>9</v>
      </c>
      <c r="B25" s="9" t="s">
        <v>23</v>
      </c>
      <c r="C25" s="9" t="s">
        <v>129</v>
      </c>
      <c r="D25" s="9" t="s">
        <v>135</v>
      </c>
      <c r="E25" s="9" t="s">
        <v>136</v>
      </c>
      <c r="F25" s="9" t="s">
        <v>137</v>
      </c>
      <c r="G25" s="9" t="s">
        <v>138</v>
      </c>
      <c r="H25" s="9" t="s">
        <v>4</v>
      </c>
      <c r="I25" s="9" t="s">
        <v>139</v>
      </c>
    </row>
    <row r="26" customFormat="false" ht="35.05" hidden="false" customHeight="false" outlineLevel="0" collapsed="false">
      <c r="A26" s="9" t="s">
        <v>9</v>
      </c>
      <c r="B26" s="9" t="s">
        <v>23</v>
      </c>
      <c r="C26" s="9" t="s">
        <v>129</v>
      </c>
      <c r="D26" s="9" t="s">
        <v>140</v>
      </c>
      <c r="E26" s="9" t="s">
        <v>141</v>
      </c>
      <c r="F26" s="9" t="s">
        <v>142</v>
      </c>
      <c r="G26" s="9" t="s">
        <v>143</v>
      </c>
      <c r="H26" s="9" t="s">
        <v>4</v>
      </c>
      <c r="I26" s="9"/>
    </row>
    <row r="27" customFormat="false" ht="23.85" hidden="false" customHeight="false" outlineLevel="0" collapsed="false">
      <c r="A27" s="9" t="s">
        <v>9</v>
      </c>
      <c r="B27" s="9" t="s">
        <v>23</v>
      </c>
      <c r="C27" s="9" t="s">
        <v>129</v>
      </c>
      <c r="D27" s="9" t="s">
        <v>144</v>
      </c>
      <c r="E27" s="9" t="s">
        <v>145</v>
      </c>
      <c r="F27" s="9" t="s">
        <v>146</v>
      </c>
      <c r="G27" s="9" t="s">
        <v>147</v>
      </c>
      <c r="H27" s="9" t="s">
        <v>6</v>
      </c>
      <c r="I27" s="9" t="s">
        <v>74</v>
      </c>
    </row>
    <row r="28" customFormat="false" ht="35.05" hidden="false" customHeight="false" outlineLevel="0" collapsed="false">
      <c r="A28" s="9" t="s">
        <v>9</v>
      </c>
      <c r="B28" s="9" t="s">
        <v>23</v>
      </c>
      <c r="C28" s="9" t="s">
        <v>129</v>
      </c>
      <c r="D28" s="9" t="s">
        <v>148</v>
      </c>
      <c r="E28" s="9" t="s">
        <v>149</v>
      </c>
      <c r="F28" s="9" t="s">
        <v>150</v>
      </c>
      <c r="G28" s="9" t="s">
        <v>151</v>
      </c>
      <c r="H28" s="9" t="s">
        <v>6</v>
      </c>
      <c r="I28" s="9" t="s">
        <v>74</v>
      </c>
    </row>
    <row r="29" customFormat="false" ht="23.85" hidden="false" customHeight="false" outlineLevel="0" collapsed="false">
      <c r="A29" s="9" t="s">
        <v>9</v>
      </c>
      <c r="B29" s="9" t="s">
        <v>23</v>
      </c>
      <c r="C29" s="9" t="s">
        <v>129</v>
      </c>
      <c r="D29" s="9" t="s">
        <v>152</v>
      </c>
      <c r="E29" s="9" t="s">
        <v>153</v>
      </c>
      <c r="F29" s="9" t="s">
        <v>154</v>
      </c>
      <c r="G29" s="9" t="s">
        <v>155</v>
      </c>
      <c r="H29" s="9" t="s">
        <v>5</v>
      </c>
      <c r="I29" s="9" t="s">
        <v>156</v>
      </c>
    </row>
    <row r="30" customFormat="false" ht="23.85" hidden="false" customHeight="false" outlineLevel="0" collapsed="false">
      <c r="A30" s="9" t="s">
        <v>9</v>
      </c>
      <c r="B30" s="9" t="s">
        <v>23</v>
      </c>
      <c r="C30" s="9" t="s">
        <v>157</v>
      </c>
      <c r="D30" s="9" t="s">
        <v>158</v>
      </c>
      <c r="E30" s="9" t="s">
        <v>159</v>
      </c>
      <c r="F30" s="9" t="s">
        <v>160</v>
      </c>
      <c r="G30" s="9" t="s">
        <v>161</v>
      </c>
      <c r="H30" s="9" t="s">
        <v>6</v>
      </c>
      <c r="I30" s="9" t="s">
        <v>74</v>
      </c>
    </row>
    <row r="31" customFormat="false" ht="46.25" hidden="false" customHeight="false" outlineLevel="0" collapsed="false">
      <c r="A31" s="9" t="s">
        <v>9</v>
      </c>
      <c r="B31" s="9" t="s">
        <v>23</v>
      </c>
      <c r="C31" s="9" t="s">
        <v>157</v>
      </c>
      <c r="D31" s="9" t="s">
        <v>162</v>
      </c>
      <c r="E31" s="9" t="s">
        <v>163</v>
      </c>
      <c r="F31" s="9" t="s">
        <v>164</v>
      </c>
      <c r="G31" s="9" t="s">
        <v>165</v>
      </c>
      <c r="H31" s="9" t="s">
        <v>6</v>
      </c>
      <c r="I31" s="9" t="s">
        <v>166</v>
      </c>
    </row>
    <row r="32" customFormat="false" ht="35.05" hidden="false" customHeight="false" outlineLevel="0" collapsed="false">
      <c r="A32" s="9" t="s">
        <v>9</v>
      </c>
      <c r="B32" s="9" t="s">
        <v>23</v>
      </c>
      <c r="C32" s="9" t="s">
        <v>24</v>
      </c>
      <c r="D32" s="9" t="s">
        <v>167</v>
      </c>
      <c r="E32" s="9" t="s">
        <v>168</v>
      </c>
      <c r="F32" s="9" t="s">
        <v>169</v>
      </c>
      <c r="G32" s="9" t="s">
        <v>170</v>
      </c>
      <c r="H32" s="9" t="s">
        <v>4</v>
      </c>
      <c r="I32" s="9" t="s">
        <v>171</v>
      </c>
    </row>
    <row r="33" customFormat="false" ht="46.25" hidden="false" customHeight="false" outlineLevel="0" collapsed="false">
      <c r="A33" s="9" t="s">
        <v>9</v>
      </c>
      <c r="B33" s="9" t="s">
        <v>23</v>
      </c>
      <c r="C33" s="9" t="s">
        <v>24</v>
      </c>
      <c r="D33" s="9" t="s">
        <v>172</v>
      </c>
      <c r="E33" s="9" t="s">
        <v>173</v>
      </c>
      <c r="F33" s="9" t="s">
        <v>174</v>
      </c>
      <c r="G33" s="9" t="s">
        <v>175</v>
      </c>
      <c r="H33" s="9" t="s">
        <v>6</v>
      </c>
      <c r="I33" s="9" t="s">
        <v>176</v>
      </c>
    </row>
    <row r="34" customFormat="false" ht="46.25" hidden="false" customHeight="false" outlineLevel="0" collapsed="false">
      <c r="A34" s="9" t="s">
        <v>9</v>
      </c>
      <c r="B34" s="9" t="s">
        <v>23</v>
      </c>
      <c r="C34" s="9" t="s">
        <v>24</v>
      </c>
      <c r="D34" s="9" t="s">
        <v>177</v>
      </c>
      <c r="E34" s="9" t="s">
        <v>178</v>
      </c>
      <c r="F34" s="9" t="s">
        <v>179</v>
      </c>
      <c r="G34" s="9" t="s">
        <v>180</v>
      </c>
      <c r="H34" s="9" t="s">
        <v>6</v>
      </c>
      <c r="I34" s="9" t="s">
        <v>176</v>
      </c>
    </row>
    <row r="35" customFormat="false" ht="35.05" hidden="false" customHeight="false" outlineLevel="0" collapsed="false">
      <c r="A35" s="9" t="s">
        <v>9</v>
      </c>
      <c r="B35" s="9" t="s">
        <v>23</v>
      </c>
      <c r="C35" s="9" t="s">
        <v>24</v>
      </c>
      <c r="D35" s="9" t="s">
        <v>181</v>
      </c>
      <c r="E35" s="9" t="s">
        <v>182</v>
      </c>
      <c r="F35" s="9" t="s">
        <v>183</v>
      </c>
      <c r="G35" s="9" t="s">
        <v>184</v>
      </c>
      <c r="H35" s="9" t="s">
        <v>6</v>
      </c>
      <c r="I35" s="9" t="s">
        <v>176</v>
      </c>
    </row>
    <row r="36" customFormat="false" ht="46.25" hidden="false" customHeight="false" outlineLevel="0" collapsed="false">
      <c r="A36" s="9" t="s">
        <v>9</v>
      </c>
      <c r="B36" s="9" t="s">
        <v>23</v>
      </c>
      <c r="C36" s="9" t="s">
        <v>24</v>
      </c>
      <c r="D36" s="9" t="s">
        <v>185</v>
      </c>
      <c r="E36" s="9" t="s">
        <v>186</v>
      </c>
      <c r="F36" s="9" t="s">
        <v>187</v>
      </c>
      <c r="G36" s="9" t="s">
        <v>188</v>
      </c>
      <c r="H36" s="9" t="s">
        <v>6</v>
      </c>
      <c r="I36" s="9" t="s">
        <v>189</v>
      </c>
    </row>
    <row r="37" customFormat="false" ht="68.65" hidden="false" customHeight="false" outlineLevel="0" collapsed="false">
      <c r="A37" s="9" t="s">
        <v>9</v>
      </c>
      <c r="B37" s="9" t="s">
        <v>23</v>
      </c>
      <c r="C37" s="9" t="s">
        <v>24</v>
      </c>
      <c r="D37" s="9" t="s">
        <v>190</v>
      </c>
      <c r="E37" s="9" t="s">
        <v>191</v>
      </c>
      <c r="F37" s="9" t="s">
        <v>192</v>
      </c>
      <c r="G37" s="9" t="s">
        <v>193</v>
      </c>
      <c r="H37" s="9" t="s">
        <v>6</v>
      </c>
      <c r="I37" s="9" t="s">
        <v>74</v>
      </c>
    </row>
    <row r="38" customFormat="false" ht="35.05" hidden="false" customHeight="false" outlineLevel="0" collapsed="false">
      <c r="A38" s="9" t="s">
        <v>9</v>
      </c>
      <c r="B38" s="9" t="s">
        <v>23</v>
      </c>
      <c r="C38" s="9" t="s">
        <v>129</v>
      </c>
      <c r="D38" s="9" t="s">
        <v>194</v>
      </c>
      <c r="E38" s="9" t="s">
        <v>195</v>
      </c>
      <c r="F38" s="9" t="s">
        <v>196</v>
      </c>
      <c r="G38" s="9" t="s">
        <v>197</v>
      </c>
      <c r="H38" s="9" t="s">
        <v>4</v>
      </c>
      <c r="I38" s="9" t="s">
        <v>198</v>
      </c>
    </row>
    <row r="39" customFormat="false" ht="46.25" hidden="false" customHeight="false" outlineLevel="0" collapsed="false">
      <c r="A39" s="9" t="s">
        <v>9</v>
      </c>
      <c r="B39" s="9" t="s">
        <v>23</v>
      </c>
      <c r="C39" s="9" t="s">
        <v>129</v>
      </c>
      <c r="D39" s="9" t="s">
        <v>199</v>
      </c>
      <c r="E39" s="9" t="s">
        <v>200</v>
      </c>
      <c r="F39" s="9" t="s">
        <v>201</v>
      </c>
      <c r="G39" s="9" t="s">
        <v>202</v>
      </c>
      <c r="H39" s="9" t="s">
        <v>5</v>
      </c>
      <c r="I39" s="9"/>
    </row>
    <row r="40" customFormat="false" ht="46.25" hidden="false" customHeight="false" outlineLevel="0" collapsed="false">
      <c r="A40" s="9" t="s">
        <v>9</v>
      </c>
      <c r="B40" s="9" t="s">
        <v>23</v>
      </c>
      <c r="C40" s="9" t="s">
        <v>129</v>
      </c>
      <c r="D40" s="9" t="s">
        <v>203</v>
      </c>
      <c r="E40" s="9" t="s">
        <v>204</v>
      </c>
      <c r="F40" s="9" t="s">
        <v>205</v>
      </c>
      <c r="G40" s="9" t="s">
        <v>206</v>
      </c>
      <c r="H40" s="9" t="s">
        <v>5</v>
      </c>
      <c r="I40" s="9" t="s">
        <v>207</v>
      </c>
    </row>
    <row r="41" customFormat="false" ht="35.05" hidden="false" customHeight="false" outlineLevel="0" collapsed="false">
      <c r="A41" s="9" t="s">
        <v>9</v>
      </c>
      <c r="B41" s="9" t="s">
        <v>23</v>
      </c>
      <c r="C41" s="9" t="s">
        <v>24</v>
      </c>
      <c r="D41" s="9" t="s">
        <v>208</v>
      </c>
      <c r="E41" s="9" t="s">
        <v>209</v>
      </c>
      <c r="F41" s="9" t="s">
        <v>210</v>
      </c>
      <c r="G41" s="9" t="s">
        <v>211</v>
      </c>
      <c r="H41" s="9" t="s">
        <v>6</v>
      </c>
      <c r="I41" s="9" t="s">
        <v>176</v>
      </c>
    </row>
    <row r="42" customFormat="false" ht="35.05" hidden="false" customHeight="false" outlineLevel="0" collapsed="false">
      <c r="A42" s="9" t="s">
        <v>9</v>
      </c>
      <c r="B42" s="9" t="s">
        <v>23</v>
      </c>
      <c r="C42" s="9" t="s">
        <v>157</v>
      </c>
      <c r="D42" s="9" t="s">
        <v>212</v>
      </c>
      <c r="E42" s="9" t="s">
        <v>213</v>
      </c>
      <c r="F42" s="9" t="s">
        <v>214</v>
      </c>
      <c r="G42" s="9" t="s">
        <v>215</v>
      </c>
      <c r="H42" s="9" t="s">
        <v>4</v>
      </c>
      <c r="I42" s="9" t="s">
        <v>216</v>
      </c>
    </row>
    <row r="43" customFormat="false" ht="23.85" hidden="false" customHeight="false" outlineLevel="0" collapsed="false">
      <c r="A43" s="9" t="s">
        <v>9</v>
      </c>
      <c r="B43" s="9" t="s">
        <v>23</v>
      </c>
      <c r="C43" s="9" t="s">
        <v>157</v>
      </c>
      <c r="D43" s="9" t="s">
        <v>217</v>
      </c>
      <c r="E43" s="9" t="s">
        <v>218</v>
      </c>
      <c r="F43" s="9" t="s">
        <v>219</v>
      </c>
      <c r="G43" s="9" t="s">
        <v>220</v>
      </c>
      <c r="H43" s="9" t="s">
        <v>4</v>
      </c>
      <c r="I43" s="9"/>
    </row>
    <row r="44" customFormat="false" ht="57.45" hidden="false" customHeight="false" outlineLevel="0" collapsed="false">
      <c r="A44" s="9" t="s">
        <v>10</v>
      </c>
      <c r="B44" s="9" t="s">
        <v>221</v>
      </c>
      <c r="C44" s="9" t="s">
        <v>222</v>
      </c>
      <c r="D44" s="9" t="s">
        <v>223</v>
      </c>
      <c r="E44" s="9" t="s">
        <v>224</v>
      </c>
      <c r="F44" s="9" t="s">
        <v>225</v>
      </c>
      <c r="G44" s="9" t="s">
        <v>226</v>
      </c>
      <c r="H44" s="9" t="s">
        <v>6</v>
      </c>
      <c r="I44" s="9" t="s">
        <v>227</v>
      </c>
    </row>
    <row r="45" customFormat="false" ht="35.05" hidden="false" customHeight="false" outlineLevel="0" collapsed="false">
      <c r="A45" s="9" t="s">
        <v>10</v>
      </c>
      <c r="B45" s="9" t="s">
        <v>221</v>
      </c>
      <c r="C45" s="9" t="s">
        <v>30</v>
      </c>
      <c r="D45" s="9" t="s">
        <v>228</v>
      </c>
      <c r="E45" s="9" t="s">
        <v>32</v>
      </c>
      <c r="F45" s="9" t="s">
        <v>229</v>
      </c>
      <c r="G45" s="9" t="s">
        <v>226</v>
      </c>
      <c r="H45" s="9" t="s">
        <v>6</v>
      </c>
      <c r="I45" s="9" t="s">
        <v>227</v>
      </c>
    </row>
    <row r="46" customFormat="false" ht="35.05" hidden="false" customHeight="false" outlineLevel="0" collapsed="false">
      <c r="A46" s="9" t="s">
        <v>10</v>
      </c>
      <c r="B46" s="9" t="s">
        <v>221</v>
      </c>
      <c r="C46" s="9" t="s">
        <v>30</v>
      </c>
      <c r="D46" s="9" t="s">
        <v>230</v>
      </c>
      <c r="E46" s="9" t="s">
        <v>37</v>
      </c>
      <c r="F46" s="9" t="s">
        <v>231</v>
      </c>
      <c r="G46" s="9" t="s">
        <v>226</v>
      </c>
      <c r="H46" s="9" t="s">
        <v>6</v>
      </c>
      <c r="I46" s="9" t="s">
        <v>227</v>
      </c>
    </row>
    <row r="47" customFormat="false" ht="35.05" hidden="false" customHeight="false" outlineLevel="0" collapsed="false">
      <c r="A47" s="9" t="s">
        <v>10</v>
      </c>
      <c r="B47" s="9" t="s">
        <v>221</v>
      </c>
      <c r="C47" s="9" t="s">
        <v>40</v>
      </c>
      <c r="D47" s="9" t="s">
        <v>232</v>
      </c>
      <c r="E47" s="9" t="s">
        <v>42</v>
      </c>
      <c r="F47" s="9" t="s">
        <v>233</v>
      </c>
      <c r="G47" s="9" t="s">
        <v>226</v>
      </c>
      <c r="H47" s="9" t="s">
        <v>6</v>
      </c>
      <c r="I47" s="9" t="s">
        <v>227</v>
      </c>
    </row>
    <row r="48" customFormat="false" ht="35.05" hidden="false" customHeight="false" outlineLevel="0" collapsed="false">
      <c r="A48" s="9" t="s">
        <v>10</v>
      </c>
      <c r="B48" s="9" t="s">
        <v>221</v>
      </c>
      <c r="C48" s="9" t="s">
        <v>40</v>
      </c>
      <c r="D48" s="9" t="s">
        <v>234</v>
      </c>
      <c r="E48" s="9" t="s">
        <v>51</v>
      </c>
      <c r="F48" s="9" t="s">
        <v>52</v>
      </c>
      <c r="G48" s="9" t="s">
        <v>226</v>
      </c>
      <c r="H48" s="9" t="s">
        <v>6</v>
      </c>
      <c r="I48" s="9" t="s">
        <v>227</v>
      </c>
    </row>
    <row r="49" customFormat="false" ht="35.05" hidden="false" customHeight="false" outlineLevel="0" collapsed="false">
      <c r="A49" s="9" t="s">
        <v>10</v>
      </c>
      <c r="B49" s="9" t="s">
        <v>221</v>
      </c>
      <c r="C49" s="9" t="s">
        <v>55</v>
      </c>
      <c r="D49" s="9" t="s">
        <v>235</v>
      </c>
      <c r="E49" s="9" t="s">
        <v>57</v>
      </c>
      <c r="F49" s="9" t="s">
        <v>236</v>
      </c>
      <c r="G49" s="9" t="s">
        <v>226</v>
      </c>
      <c r="H49" s="9" t="s">
        <v>6</v>
      </c>
      <c r="I49" s="9" t="s">
        <v>227</v>
      </c>
    </row>
    <row r="50" customFormat="false" ht="35.05" hidden="false" customHeight="false" outlineLevel="0" collapsed="false">
      <c r="A50" s="9" t="s">
        <v>10</v>
      </c>
      <c r="B50" s="9" t="s">
        <v>221</v>
      </c>
      <c r="C50" s="9" t="s">
        <v>65</v>
      </c>
      <c r="D50" s="9" t="s">
        <v>237</v>
      </c>
      <c r="E50" s="9" t="s">
        <v>67</v>
      </c>
      <c r="F50" s="9" t="s">
        <v>238</v>
      </c>
      <c r="G50" s="9" t="s">
        <v>226</v>
      </c>
      <c r="H50" s="9" t="s">
        <v>6</v>
      </c>
      <c r="I50" s="9" t="s">
        <v>227</v>
      </c>
    </row>
    <row r="51" customFormat="false" ht="35.05" hidden="false" customHeight="false" outlineLevel="0" collapsed="false">
      <c r="A51" s="9" t="s">
        <v>10</v>
      </c>
      <c r="B51" s="9" t="s">
        <v>221</v>
      </c>
      <c r="C51" s="9" t="s">
        <v>65</v>
      </c>
      <c r="D51" s="9" t="s">
        <v>239</v>
      </c>
      <c r="E51" s="9" t="s">
        <v>240</v>
      </c>
      <c r="F51" s="9" t="s">
        <v>241</v>
      </c>
      <c r="G51" s="9" t="s">
        <v>226</v>
      </c>
      <c r="H51" s="9" t="s">
        <v>6</v>
      </c>
      <c r="I51" s="9" t="s">
        <v>227</v>
      </c>
    </row>
    <row r="52" customFormat="false" ht="35.05" hidden="false" customHeight="false" outlineLevel="0" collapsed="false">
      <c r="A52" s="9" t="s">
        <v>10</v>
      </c>
      <c r="B52" s="9" t="s">
        <v>221</v>
      </c>
      <c r="C52" s="9" t="s">
        <v>83</v>
      </c>
      <c r="D52" s="9" t="s">
        <v>242</v>
      </c>
      <c r="E52" s="9" t="s">
        <v>85</v>
      </c>
      <c r="F52" s="9" t="s">
        <v>86</v>
      </c>
      <c r="G52" s="9" t="s">
        <v>226</v>
      </c>
      <c r="H52" s="9" t="s">
        <v>6</v>
      </c>
      <c r="I52" s="9" t="s">
        <v>227</v>
      </c>
    </row>
    <row r="53" customFormat="false" ht="35.05" hidden="false" customHeight="false" outlineLevel="0" collapsed="false">
      <c r="A53" s="9" t="s">
        <v>10</v>
      </c>
      <c r="B53" s="9" t="s">
        <v>221</v>
      </c>
      <c r="C53" s="9" t="s">
        <v>83</v>
      </c>
      <c r="D53" s="9" t="s">
        <v>243</v>
      </c>
      <c r="E53" s="9" t="s">
        <v>89</v>
      </c>
      <c r="F53" s="9" t="s">
        <v>90</v>
      </c>
      <c r="G53" s="9" t="s">
        <v>226</v>
      </c>
      <c r="H53" s="9" t="s">
        <v>6</v>
      </c>
      <c r="I53" s="9" t="s">
        <v>227</v>
      </c>
    </row>
    <row r="54" customFormat="false" ht="35.05" hidden="false" customHeight="false" outlineLevel="0" collapsed="false">
      <c r="A54" s="9" t="s">
        <v>10</v>
      </c>
      <c r="B54" s="9" t="s">
        <v>221</v>
      </c>
      <c r="C54" s="9" t="s">
        <v>83</v>
      </c>
      <c r="D54" s="9" t="s">
        <v>244</v>
      </c>
      <c r="E54" s="9" t="s">
        <v>245</v>
      </c>
      <c r="F54" s="9" t="s">
        <v>246</v>
      </c>
      <c r="G54" s="9" t="s">
        <v>226</v>
      </c>
      <c r="H54" s="9" t="s">
        <v>6</v>
      </c>
      <c r="I54" s="9" t="s">
        <v>227</v>
      </c>
    </row>
    <row r="55" customFormat="false" ht="35.05" hidden="false" customHeight="false" outlineLevel="0" collapsed="false">
      <c r="A55" s="9" t="s">
        <v>10</v>
      </c>
      <c r="B55" s="9" t="s">
        <v>221</v>
      </c>
      <c r="C55" s="9" t="s">
        <v>247</v>
      </c>
      <c r="D55" s="9" t="s">
        <v>248</v>
      </c>
      <c r="E55" s="9" t="s">
        <v>249</v>
      </c>
      <c r="F55" s="9" t="s">
        <v>250</v>
      </c>
      <c r="G55" s="9" t="s">
        <v>226</v>
      </c>
      <c r="H55" s="9" t="s">
        <v>6</v>
      </c>
      <c r="I55" s="9" t="s">
        <v>227</v>
      </c>
    </row>
    <row r="56" customFormat="false" ht="35.05" hidden="false" customHeight="false" outlineLevel="0" collapsed="false">
      <c r="A56" s="9" t="s">
        <v>10</v>
      </c>
      <c r="B56" s="9" t="s">
        <v>221</v>
      </c>
      <c r="C56" s="9" t="s">
        <v>247</v>
      </c>
      <c r="D56" s="9" t="s">
        <v>251</v>
      </c>
      <c r="E56" s="9" t="s">
        <v>252</v>
      </c>
      <c r="F56" s="9" t="s">
        <v>253</v>
      </c>
      <c r="G56" s="9" t="s">
        <v>226</v>
      </c>
      <c r="H56" s="9" t="s">
        <v>6</v>
      </c>
      <c r="I56" s="9" t="s">
        <v>227</v>
      </c>
    </row>
    <row r="57" customFormat="false" ht="35.05" hidden="false" customHeight="false" outlineLevel="0" collapsed="false">
      <c r="A57" s="9" t="s">
        <v>10</v>
      </c>
      <c r="B57" s="9" t="s">
        <v>221</v>
      </c>
      <c r="C57" s="9" t="s">
        <v>247</v>
      </c>
      <c r="D57" s="9" t="s">
        <v>254</v>
      </c>
      <c r="E57" s="9" t="s">
        <v>255</v>
      </c>
      <c r="F57" s="9" t="s">
        <v>256</v>
      </c>
      <c r="G57" s="9" t="s">
        <v>226</v>
      </c>
      <c r="H57" s="9" t="s">
        <v>6</v>
      </c>
      <c r="I57" s="9" t="s">
        <v>227</v>
      </c>
    </row>
    <row r="58" customFormat="false" ht="35.05" hidden="false" customHeight="false" outlineLevel="0" collapsed="false">
      <c r="A58" s="9" t="s">
        <v>10</v>
      </c>
      <c r="B58" s="9" t="s">
        <v>221</v>
      </c>
      <c r="C58" s="9" t="s">
        <v>247</v>
      </c>
      <c r="D58" s="9" t="s">
        <v>257</v>
      </c>
      <c r="E58" s="9" t="s">
        <v>258</v>
      </c>
      <c r="F58" s="9" t="s">
        <v>259</v>
      </c>
      <c r="G58" s="9" t="s">
        <v>226</v>
      </c>
      <c r="H58" s="9" t="s">
        <v>6</v>
      </c>
      <c r="I58" s="9" t="s">
        <v>227</v>
      </c>
    </row>
    <row r="59" customFormat="false" ht="35.05" hidden="false" customHeight="false" outlineLevel="0" collapsed="false">
      <c r="A59" s="9" t="s">
        <v>10</v>
      </c>
      <c r="B59" s="9" t="s">
        <v>221</v>
      </c>
      <c r="C59" s="9" t="s">
        <v>247</v>
      </c>
      <c r="D59" s="9" t="s">
        <v>260</v>
      </c>
      <c r="E59" s="9" t="s">
        <v>261</v>
      </c>
      <c r="F59" s="9" t="s">
        <v>262</v>
      </c>
      <c r="G59" s="9" t="s">
        <v>226</v>
      </c>
      <c r="H59" s="9" t="s">
        <v>6</v>
      </c>
      <c r="I59" s="9" t="s">
        <v>227</v>
      </c>
    </row>
    <row r="60" customFormat="false" ht="35.05" hidden="false" customHeight="false" outlineLevel="0" collapsed="false">
      <c r="A60" s="9" t="s">
        <v>10</v>
      </c>
      <c r="B60" s="9" t="s">
        <v>221</v>
      </c>
      <c r="C60" s="9" t="s">
        <v>247</v>
      </c>
      <c r="D60" s="9" t="s">
        <v>263</v>
      </c>
      <c r="E60" s="9" t="s">
        <v>264</v>
      </c>
      <c r="F60" s="9" t="s">
        <v>265</v>
      </c>
      <c r="G60" s="9" t="s">
        <v>226</v>
      </c>
      <c r="H60" s="9" t="s">
        <v>6</v>
      </c>
      <c r="I60" s="9" t="s">
        <v>227</v>
      </c>
    </row>
    <row r="61" customFormat="false" ht="35.05" hidden="false" customHeight="false" outlineLevel="0" collapsed="false">
      <c r="A61" s="9" t="s">
        <v>10</v>
      </c>
      <c r="B61" s="9" t="s">
        <v>221</v>
      </c>
      <c r="C61" s="9" t="s">
        <v>247</v>
      </c>
      <c r="D61" s="9" t="s">
        <v>266</v>
      </c>
      <c r="E61" s="9" t="s">
        <v>267</v>
      </c>
      <c r="F61" s="9" t="s">
        <v>268</v>
      </c>
      <c r="G61" s="9" t="s">
        <v>226</v>
      </c>
      <c r="H61" s="9" t="s">
        <v>6</v>
      </c>
      <c r="I61" s="9" t="s">
        <v>227</v>
      </c>
    </row>
    <row r="62" customFormat="false" ht="35.05" hidden="false" customHeight="false" outlineLevel="0" collapsed="false">
      <c r="A62" s="9" t="s">
        <v>10</v>
      </c>
      <c r="B62" s="9" t="s">
        <v>221</v>
      </c>
      <c r="C62" s="9" t="s">
        <v>247</v>
      </c>
      <c r="D62" s="9" t="s">
        <v>269</v>
      </c>
      <c r="E62" s="9" t="s">
        <v>270</v>
      </c>
      <c r="F62" s="9" t="s">
        <v>271</v>
      </c>
      <c r="G62" s="9" t="s">
        <v>226</v>
      </c>
      <c r="H62" s="9" t="s">
        <v>6</v>
      </c>
      <c r="I62" s="9" t="s">
        <v>227</v>
      </c>
    </row>
    <row r="63" customFormat="false" ht="35.05" hidden="false" customHeight="false" outlineLevel="0" collapsed="false">
      <c r="A63" s="9" t="s">
        <v>10</v>
      </c>
      <c r="B63" s="9" t="s">
        <v>221</v>
      </c>
      <c r="C63" s="9" t="s">
        <v>272</v>
      </c>
      <c r="D63" s="9" t="s">
        <v>273</v>
      </c>
      <c r="E63" s="9" t="s">
        <v>274</v>
      </c>
      <c r="F63" s="9" t="s">
        <v>275</v>
      </c>
      <c r="G63" s="9" t="s">
        <v>226</v>
      </c>
      <c r="H63" s="9" t="s">
        <v>6</v>
      </c>
      <c r="I63" s="9" t="s">
        <v>227</v>
      </c>
    </row>
    <row r="64" customFormat="false" ht="35.05" hidden="false" customHeight="false" outlineLevel="0" collapsed="false">
      <c r="A64" s="9" t="s">
        <v>10</v>
      </c>
      <c r="B64" s="9" t="s">
        <v>221</v>
      </c>
      <c r="C64" s="9" t="s">
        <v>276</v>
      </c>
      <c r="D64" s="9" t="s">
        <v>277</v>
      </c>
      <c r="E64" s="9" t="s">
        <v>278</v>
      </c>
      <c r="F64" s="9" t="s">
        <v>279</v>
      </c>
      <c r="G64" s="9" t="s">
        <v>226</v>
      </c>
      <c r="H64" s="9" t="s">
        <v>6</v>
      </c>
      <c r="I64" s="9" t="s">
        <v>227</v>
      </c>
    </row>
    <row r="65" customFormat="false" ht="35.05" hidden="false" customHeight="false" outlineLevel="0" collapsed="false">
      <c r="A65" s="9" t="s">
        <v>10</v>
      </c>
      <c r="B65" s="9" t="s">
        <v>221</v>
      </c>
      <c r="C65" s="9" t="s">
        <v>276</v>
      </c>
      <c r="D65" s="9" t="s">
        <v>280</v>
      </c>
      <c r="E65" s="9" t="s">
        <v>281</v>
      </c>
      <c r="F65" s="9" t="s">
        <v>282</v>
      </c>
      <c r="G65" s="9" t="s">
        <v>226</v>
      </c>
      <c r="H65" s="9" t="s">
        <v>6</v>
      </c>
      <c r="I65" s="9" t="s">
        <v>227</v>
      </c>
    </row>
    <row r="66" customFormat="false" ht="35.05" hidden="false" customHeight="false" outlineLevel="0" collapsed="false">
      <c r="A66" s="9" t="s">
        <v>10</v>
      </c>
      <c r="B66" s="9" t="s">
        <v>221</v>
      </c>
      <c r="C66" s="9" t="s">
        <v>276</v>
      </c>
      <c r="D66" s="9" t="s">
        <v>283</v>
      </c>
      <c r="E66" s="9" t="s">
        <v>284</v>
      </c>
      <c r="F66" s="9" t="s">
        <v>285</v>
      </c>
      <c r="G66" s="9" t="s">
        <v>226</v>
      </c>
      <c r="H66" s="9" t="s">
        <v>6</v>
      </c>
      <c r="I66" s="9" t="s">
        <v>227</v>
      </c>
    </row>
    <row r="67" customFormat="false" ht="35.05" hidden="false" customHeight="false" outlineLevel="0" collapsed="false">
      <c r="A67" s="9" t="s">
        <v>10</v>
      </c>
      <c r="B67" s="9" t="s">
        <v>221</v>
      </c>
      <c r="C67" s="9" t="s">
        <v>222</v>
      </c>
      <c r="D67" s="9" t="s">
        <v>286</v>
      </c>
      <c r="E67" s="9" t="s">
        <v>287</v>
      </c>
      <c r="F67" s="9" t="s">
        <v>288</v>
      </c>
      <c r="G67" s="9" t="s">
        <v>226</v>
      </c>
      <c r="H67" s="9" t="s">
        <v>6</v>
      </c>
      <c r="I67" s="9" t="s">
        <v>227</v>
      </c>
    </row>
    <row r="68" customFormat="false" ht="35.05" hidden="false" customHeight="false" outlineLevel="0" collapsed="false">
      <c r="A68" s="9" t="s">
        <v>10</v>
      </c>
      <c r="B68" s="9" t="s">
        <v>221</v>
      </c>
      <c r="C68" s="9" t="s">
        <v>289</v>
      </c>
      <c r="D68" s="9" t="s">
        <v>290</v>
      </c>
      <c r="E68" s="9" t="s">
        <v>291</v>
      </c>
      <c r="F68" s="9" t="s">
        <v>292</v>
      </c>
      <c r="G68" s="9" t="s">
        <v>293</v>
      </c>
      <c r="H68" s="9" t="s">
        <v>5</v>
      </c>
      <c r="I68" s="9" t="s">
        <v>294</v>
      </c>
    </row>
    <row r="69" customFormat="false" ht="23.85" hidden="false" customHeight="false" outlineLevel="0" collapsed="false">
      <c r="A69" s="9" t="s">
        <v>10</v>
      </c>
      <c r="B69" s="9" t="s">
        <v>221</v>
      </c>
      <c r="C69" s="9" t="s">
        <v>289</v>
      </c>
      <c r="D69" s="9" t="s">
        <v>295</v>
      </c>
      <c r="E69" s="9" t="s">
        <v>296</v>
      </c>
      <c r="F69" s="9" t="s">
        <v>297</v>
      </c>
      <c r="G69" s="9" t="s">
        <v>293</v>
      </c>
      <c r="H69" s="9" t="s">
        <v>5</v>
      </c>
      <c r="I69" s="9" t="s">
        <v>294</v>
      </c>
    </row>
    <row r="70" customFormat="false" ht="23.85" hidden="false" customHeight="false" outlineLevel="0" collapsed="false">
      <c r="A70" s="9" t="s">
        <v>10</v>
      </c>
      <c r="B70" s="9" t="s">
        <v>221</v>
      </c>
      <c r="C70" s="9" t="s">
        <v>289</v>
      </c>
      <c r="D70" s="9" t="s">
        <v>298</v>
      </c>
      <c r="E70" s="9" t="s">
        <v>112</v>
      </c>
      <c r="F70" s="9" t="s">
        <v>299</v>
      </c>
      <c r="G70" s="9" t="s">
        <v>293</v>
      </c>
      <c r="H70" s="9" t="s">
        <v>5</v>
      </c>
      <c r="I70" s="9" t="s">
        <v>294</v>
      </c>
    </row>
    <row r="71" customFormat="false" ht="23.85" hidden="false" customHeight="false" outlineLevel="0" collapsed="false">
      <c r="A71" s="9" t="s">
        <v>10</v>
      </c>
      <c r="B71" s="9" t="s">
        <v>221</v>
      </c>
      <c r="C71" s="9" t="s">
        <v>289</v>
      </c>
      <c r="D71" s="9" t="s">
        <v>300</v>
      </c>
      <c r="E71" s="9" t="s">
        <v>301</v>
      </c>
      <c r="F71" s="9" t="s">
        <v>302</v>
      </c>
      <c r="G71" s="9" t="s">
        <v>293</v>
      </c>
      <c r="H71" s="9" t="s">
        <v>5</v>
      </c>
      <c r="I71" s="9" t="s">
        <v>294</v>
      </c>
    </row>
    <row r="72" customFormat="false" ht="23.85" hidden="false" customHeight="false" outlineLevel="0" collapsed="false">
      <c r="A72" s="9" t="s">
        <v>10</v>
      </c>
      <c r="B72" s="9" t="s">
        <v>221</v>
      </c>
      <c r="C72" s="9" t="s">
        <v>289</v>
      </c>
      <c r="D72" s="9" t="s">
        <v>303</v>
      </c>
      <c r="E72" s="9" t="s">
        <v>304</v>
      </c>
      <c r="F72" s="9" t="s">
        <v>305</v>
      </c>
      <c r="G72" s="9" t="s">
        <v>293</v>
      </c>
      <c r="H72" s="9" t="s">
        <v>5</v>
      </c>
      <c r="I72" s="9" t="s">
        <v>294</v>
      </c>
    </row>
    <row r="73" customFormat="false" ht="23.85" hidden="false" customHeight="false" outlineLevel="0" collapsed="false">
      <c r="A73" s="9" t="s">
        <v>10</v>
      </c>
      <c r="B73" s="9" t="s">
        <v>221</v>
      </c>
      <c r="C73" s="9" t="s">
        <v>289</v>
      </c>
      <c r="D73" s="9" t="s">
        <v>306</v>
      </c>
      <c r="E73" s="9" t="s">
        <v>307</v>
      </c>
      <c r="F73" s="9" t="s">
        <v>308</v>
      </c>
      <c r="G73" s="9" t="s">
        <v>293</v>
      </c>
      <c r="H73" s="9" t="s">
        <v>5</v>
      </c>
      <c r="I73" s="9" t="s">
        <v>294</v>
      </c>
    </row>
    <row r="74" customFormat="false" ht="23.85" hidden="false" customHeight="false" outlineLevel="0" collapsed="false">
      <c r="A74" s="9" t="s">
        <v>10</v>
      </c>
      <c r="B74" s="9" t="s">
        <v>221</v>
      </c>
      <c r="C74" s="9" t="s">
        <v>289</v>
      </c>
      <c r="D74" s="9" t="s">
        <v>309</v>
      </c>
      <c r="E74" s="9" t="s">
        <v>310</v>
      </c>
      <c r="F74" s="9" t="s">
        <v>311</v>
      </c>
      <c r="G74" s="9" t="s">
        <v>312</v>
      </c>
      <c r="H74" s="9" t="s">
        <v>6</v>
      </c>
      <c r="I74" s="9" t="s">
        <v>313</v>
      </c>
    </row>
    <row r="75" customFormat="false" ht="46.25" hidden="false" customHeight="false" outlineLevel="0" collapsed="false">
      <c r="A75" s="9" t="s">
        <v>10</v>
      </c>
      <c r="B75" s="9" t="s">
        <v>221</v>
      </c>
      <c r="C75" s="9" t="s">
        <v>157</v>
      </c>
      <c r="D75" s="9" t="s">
        <v>314</v>
      </c>
      <c r="E75" s="9" t="s">
        <v>315</v>
      </c>
      <c r="F75" s="9" t="s">
        <v>316</v>
      </c>
      <c r="G75" s="9" t="s">
        <v>317</v>
      </c>
      <c r="H75" s="9" t="s">
        <v>6</v>
      </c>
      <c r="I75" s="9" t="s">
        <v>74</v>
      </c>
    </row>
    <row r="76" customFormat="false" ht="35.05" hidden="false" customHeight="false" outlineLevel="0" collapsed="false">
      <c r="A76" s="9" t="s">
        <v>10</v>
      </c>
      <c r="B76" s="9" t="s">
        <v>221</v>
      </c>
      <c r="C76" s="9" t="s">
        <v>157</v>
      </c>
      <c r="D76" s="9" t="s">
        <v>318</v>
      </c>
      <c r="E76" s="9" t="s">
        <v>319</v>
      </c>
      <c r="F76" s="9" t="s">
        <v>320</v>
      </c>
      <c r="G76" s="9" t="s">
        <v>321</v>
      </c>
      <c r="H76" s="9" t="s">
        <v>6</v>
      </c>
      <c r="I76" s="9" t="s">
        <v>74</v>
      </c>
    </row>
    <row r="77" customFormat="false" ht="23.85" hidden="false" customHeight="false" outlineLevel="0" collapsed="false">
      <c r="A77" s="9" t="s">
        <v>10</v>
      </c>
      <c r="B77" s="9" t="s">
        <v>221</v>
      </c>
      <c r="C77" s="9" t="s">
        <v>157</v>
      </c>
      <c r="D77" s="9" t="s">
        <v>322</v>
      </c>
      <c r="E77" s="9" t="s">
        <v>323</v>
      </c>
      <c r="F77" s="9" t="s">
        <v>324</v>
      </c>
      <c r="G77" s="9" t="s">
        <v>325</v>
      </c>
      <c r="H77" s="9" t="s">
        <v>5</v>
      </c>
      <c r="I77" s="9" t="s">
        <v>326</v>
      </c>
    </row>
    <row r="78" customFormat="false" ht="35.05" hidden="false" customHeight="false" outlineLevel="0" collapsed="false">
      <c r="A78" s="9" t="s">
        <v>10</v>
      </c>
      <c r="B78" s="9" t="s">
        <v>221</v>
      </c>
      <c r="C78" s="9" t="s">
        <v>157</v>
      </c>
      <c r="D78" s="9" t="s">
        <v>327</v>
      </c>
      <c r="E78" s="9" t="s">
        <v>328</v>
      </c>
      <c r="F78" s="9" t="s">
        <v>329</v>
      </c>
      <c r="G78" s="9" t="s">
        <v>330</v>
      </c>
      <c r="H78" s="9" t="s">
        <v>6</v>
      </c>
      <c r="I78" s="9" t="s">
        <v>74</v>
      </c>
    </row>
    <row r="79" customFormat="false" ht="35.05" hidden="false" customHeight="false" outlineLevel="0" collapsed="false">
      <c r="A79" s="9" t="s">
        <v>10</v>
      </c>
      <c r="B79" s="9" t="s">
        <v>221</v>
      </c>
      <c r="C79" s="9" t="s">
        <v>157</v>
      </c>
      <c r="D79" s="9" t="s">
        <v>331</v>
      </c>
      <c r="E79" s="9" t="s">
        <v>332</v>
      </c>
      <c r="F79" s="9" t="s">
        <v>333</v>
      </c>
      <c r="G79" s="9" t="s">
        <v>334</v>
      </c>
      <c r="H79" s="9" t="s">
        <v>6</v>
      </c>
      <c r="I79" s="9" t="s">
        <v>74</v>
      </c>
    </row>
    <row r="80" customFormat="false" ht="57.45" hidden="false" customHeight="false" outlineLevel="0" collapsed="false">
      <c r="A80" s="9" t="s">
        <v>10</v>
      </c>
      <c r="B80" s="9" t="s">
        <v>221</v>
      </c>
      <c r="C80" s="9" t="s">
        <v>157</v>
      </c>
      <c r="D80" s="9" t="s">
        <v>335</v>
      </c>
      <c r="E80" s="9" t="s">
        <v>336</v>
      </c>
      <c r="F80" s="9" t="s">
        <v>337</v>
      </c>
      <c r="G80" s="9" t="s">
        <v>338</v>
      </c>
      <c r="H80" s="9" t="s">
        <v>6</v>
      </c>
      <c r="I80" s="9" t="s">
        <v>166</v>
      </c>
    </row>
    <row r="81" customFormat="false" ht="35.05" hidden="false" customHeight="false" outlineLevel="0" collapsed="false">
      <c r="A81" s="9" t="s">
        <v>10</v>
      </c>
      <c r="B81" s="9" t="s">
        <v>221</v>
      </c>
      <c r="C81" s="9" t="s">
        <v>222</v>
      </c>
      <c r="D81" s="9" t="s">
        <v>339</v>
      </c>
      <c r="E81" s="9" t="s">
        <v>168</v>
      </c>
      <c r="F81" s="9" t="s">
        <v>169</v>
      </c>
      <c r="G81" s="9" t="s">
        <v>340</v>
      </c>
      <c r="H81" s="9" t="s">
        <v>6</v>
      </c>
      <c r="I81" s="9" t="s">
        <v>227</v>
      </c>
    </row>
    <row r="82" customFormat="false" ht="46.25" hidden="false" customHeight="false" outlineLevel="0" collapsed="false">
      <c r="A82" s="9" t="s">
        <v>10</v>
      </c>
      <c r="B82" s="9" t="s">
        <v>221</v>
      </c>
      <c r="C82" s="9" t="s">
        <v>222</v>
      </c>
      <c r="D82" s="9" t="s">
        <v>341</v>
      </c>
      <c r="E82" s="9" t="s">
        <v>342</v>
      </c>
      <c r="F82" s="9" t="s">
        <v>343</v>
      </c>
      <c r="G82" s="9" t="s">
        <v>340</v>
      </c>
      <c r="H82" s="9" t="s">
        <v>6</v>
      </c>
      <c r="I82" s="9" t="s">
        <v>227</v>
      </c>
    </row>
    <row r="83" customFormat="false" ht="46.25" hidden="false" customHeight="false" outlineLevel="0" collapsed="false">
      <c r="A83" s="9" t="s">
        <v>10</v>
      </c>
      <c r="B83" s="9" t="s">
        <v>221</v>
      </c>
      <c r="C83" s="9" t="s">
        <v>222</v>
      </c>
      <c r="D83" s="9" t="s">
        <v>344</v>
      </c>
      <c r="E83" s="9" t="s">
        <v>178</v>
      </c>
      <c r="F83" s="9" t="s">
        <v>345</v>
      </c>
      <c r="G83" s="9" t="s">
        <v>340</v>
      </c>
      <c r="H83" s="9" t="s">
        <v>6</v>
      </c>
      <c r="I83" s="9" t="s">
        <v>227</v>
      </c>
    </row>
    <row r="84" customFormat="false" ht="35.05" hidden="false" customHeight="false" outlineLevel="0" collapsed="false">
      <c r="A84" s="9" t="s">
        <v>10</v>
      </c>
      <c r="B84" s="9" t="s">
        <v>221</v>
      </c>
      <c r="C84" s="9" t="s">
        <v>222</v>
      </c>
      <c r="D84" s="9" t="s">
        <v>346</v>
      </c>
      <c r="E84" s="9" t="s">
        <v>182</v>
      </c>
      <c r="F84" s="9" t="s">
        <v>183</v>
      </c>
      <c r="G84" s="9" t="s">
        <v>340</v>
      </c>
      <c r="H84" s="9" t="s">
        <v>6</v>
      </c>
      <c r="I84" s="9" t="s">
        <v>227</v>
      </c>
    </row>
    <row r="85" customFormat="false" ht="46.25" hidden="false" customHeight="false" outlineLevel="0" collapsed="false">
      <c r="A85" s="9" t="s">
        <v>10</v>
      </c>
      <c r="B85" s="9" t="s">
        <v>221</v>
      </c>
      <c r="C85" s="9" t="s">
        <v>222</v>
      </c>
      <c r="D85" s="9" t="s">
        <v>347</v>
      </c>
      <c r="E85" s="9" t="s">
        <v>348</v>
      </c>
      <c r="F85" s="9" t="s">
        <v>349</v>
      </c>
      <c r="G85" s="9" t="s">
        <v>340</v>
      </c>
      <c r="H85" s="9" t="s">
        <v>6</v>
      </c>
      <c r="I85" s="9" t="s">
        <v>227</v>
      </c>
    </row>
    <row r="86" customFormat="false" ht="68.65" hidden="false" customHeight="false" outlineLevel="0" collapsed="false">
      <c r="A86" s="9" t="s">
        <v>10</v>
      </c>
      <c r="B86" s="9" t="s">
        <v>221</v>
      </c>
      <c r="C86" s="9" t="s">
        <v>222</v>
      </c>
      <c r="D86" s="9" t="s">
        <v>350</v>
      </c>
      <c r="E86" s="9" t="s">
        <v>351</v>
      </c>
      <c r="F86" s="9" t="s">
        <v>352</v>
      </c>
      <c r="G86" s="9" t="s">
        <v>340</v>
      </c>
      <c r="H86" s="9" t="s">
        <v>6</v>
      </c>
      <c r="I86" s="9" t="s">
        <v>227</v>
      </c>
    </row>
    <row r="87" customFormat="false" ht="35.05" hidden="false" customHeight="false" outlineLevel="0" collapsed="false">
      <c r="A87" s="9" t="s">
        <v>10</v>
      </c>
      <c r="B87" s="9" t="s">
        <v>221</v>
      </c>
      <c r="C87" s="9" t="s">
        <v>222</v>
      </c>
      <c r="D87" s="9" t="s">
        <v>353</v>
      </c>
      <c r="E87" s="9" t="s">
        <v>354</v>
      </c>
      <c r="F87" s="9" t="s">
        <v>355</v>
      </c>
      <c r="G87" s="9" t="s">
        <v>340</v>
      </c>
      <c r="H87" s="9" t="s">
        <v>6</v>
      </c>
      <c r="I87" s="9" t="s">
        <v>227</v>
      </c>
    </row>
    <row r="88" customFormat="false" ht="57.45" hidden="false" customHeight="false" outlineLevel="0" collapsed="false">
      <c r="A88" s="9" t="s">
        <v>10</v>
      </c>
      <c r="B88" s="9" t="s">
        <v>221</v>
      </c>
      <c r="C88" s="9" t="s">
        <v>276</v>
      </c>
      <c r="D88" s="9" t="s">
        <v>356</v>
      </c>
      <c r="E88" s="9" t="s">
        <v>357</v>
      </c>
      <c r="F88" s="9" t="s">
        <v>358</v>
      </c>
      <c r="G88" s="9" t="s">
        <v>359</v>
      </c>
      <c r="H88" s="9" t="s">
        <v>6</v>
      </c>
      <c r="I88" s="9" t="s">
        <v>360</v>
      </c>
    </row>
    <row r="89" customFormat="false" ht="46.25" hidden="false" customHeight="false" outlineLevel="0" collapsed="false">
      <c r="A89" s="9" t="s">
        <v>10</v>
      </c>
      <c r="B89" s="9" t="s">
        <v>221</v>
      </c>
      <c r="C89" s="9" t="s">
        <v>276</v>
      </c>
      <c r="D89" s="9" t="s">
        <v>361</v>
      </c>
      <c r="E89" s="9" t="s">
        <v>362</v>
      </c>
      <c r="F89" s="9" t="s">
        <v>363</v>
      </c>
      <c r="G89" s="9" t="s">
        <v>364</v>
      </c>
      <c r="H89" s="9" t="s">
        <v>6</v>
      </c>
      <c r="I89" s="9" t="s">
        <v>176</v>
      </c>
    </row>
    <row r="90" customFormat="false" ht="57.45" hidden="false" customHeight="false" outlineLevel="0" collapsed="false">
      <c r="A90" s="9" t="s">
        <v>10</v>
      </c>
      <c r="B90" s="9" t="s">
        <v>221</v>
      </c>
      <c r="C90" s="9" t="s">
        <v>276</v>
      </c>
      <c r="D90" s="9" t="s">
        <v>365</v>
      </c>
      <c r="E90" s="9" t="s">
        <v>366</v>
      </c>
      <c r="F90" s="9" t="s">
        <v>367</v>
      </c>
      <c r="G90" s="9" t="s">
        <v>368</v>
      </c>
      <c r="H90" s="9" t="s">
        <v>6</v>
      </c>
      <c r="I90" s="9" t="s">
        <v>176</v>
      </c>
    </row>
    <row r="91" customFormat="false" ht="35.05" hidden="false" customHeight="false" outlineLevel="0" collapsed="false">
      <c r="A91" s="9" t="s">
        <v>10</v>
      </c>
      <c r="B91" s="9" t="s">
        <v>221</v>
      </c>
      <c r="C91" s="9" t="s">
        <v>222</v>
      </c>
      <c r="D91" s="9" t="s">
        <v>369</v>
      </c>
      <c r="E91" s="9" t="s">
        <v>209</v>
      </c>
      <c r="F91" s="9" t="s">
        <v>370</v>
      </c>
      <c r="G91" s="9" t="s">
        <v>340</v>
      </c>
      <c r="H91" s="9" t="s">
        <v>6</v>
      </c>
      <c r="I91" s="9" t="s">
        <v>227</v>
      </c>
    </row>
    <row r="92" customFormat="false" ht="46.25" hidden="false" customHeight="false" outlineLevel="0" collapsed="false">
      <c r="A92" s="9" t="s">
        <v>10</v>
      </c>
      <c r="B92" s="9" t="s">
        <v>221</v>
      </c>
      <c r="C92" s="9" t="s">
        <v>289</v>
      </c>
      <c r="D92" s="9" t="s">
        <v>371</v>
      </c>
      <c r="E92" s="9" t="s">
        <v>372</v>
      </c>
      <c r="F92" s="9" t="s">
        <v>373</v>
      </c>
      <c r="G92" s="9" t="s">
        <v>374</v>
      </c>
      <c r="H92" s="9" t="s">
        <v>5</v>
      </c>
      <c r="I92" s="9"/>
    </row>
    <row r="93" customFormat="false" ht="35.05" hidden="false" customHeight="false" outlineLevel="0" collapsed="false">
      <c r="A93" s="9" t="s">
        <v>10</v>
      </c>
      <c r="B93" s="9" t="s">
        <v>221</v>
      </c>
      <c r="C93" s="9" t="s">
        <v>289</v>
      </c>
      <c r="D93" s="9" t="s">
        <v>375</v>
      </c>
      <c r="E93" s="9" t="s">
        <v>376</v>
      </c>
      <c r="F93" s="9" t="s">
        <v>377</v>
      </c>
      <c r="G93" s="9" t="s">
        <v>378</v>
      </c>
      <c r="H93" s="9" t="s">
        <v>5</v>
      </c>
      <c r="I93" s="9" t="s">
        <v>379</v>
      </c>
    </row>
    <row r="94" customFormat="false" ht="35.05" hidden="false" customHeight="false" outlineLevel="0" collapsed="false">
      <c r="A94" s="9" t="s">
        <v>10</v>
      </c>
      <c r="B94" s="9" t="s">
        <v>221</v>
      </c>
      <c r="C94" s="9" t="s">
        <v>157</v>
      </c>
      <c r="D94" s="9" t="s">
        <v>380</v>
      </c>
      <c r="E94" s="9" t="s">
        <v>213</v>
      </c>
      <c r="F94" s="9" t="s">
        <v>381</v>
      </c>
      <c r="G94" s="9" t="s">
        <v>382</v>
      </c>
      <c r="H94" s="9" t="s">
        <v>4</v>
      </c>
      <c r="I94" s="9" t="s">
        <v>383</v>
      </c>
    </row>
    <row r="95" customFormat="false" ht="23.85" hidden="false" customHeight="false" outlineLevel="0" collapsed="false">
      <c r="A95" s="9" t="s">
        <v>10</v>
      </c>
      <c r="B95" s="9" t="s">
        <v>221</v>
      </c>
      <c r="C95" s="9" t="s">
        <v>157</v>
      </c>
      <c r="D95" s="9" t="s">
        <v>384</v>
      </c>
      <c r="E95" s="9" t="s">
        <v>218</v>
      </c>
      <c r="F95" s="9" t="s">
        <v>219</v>
      </c>
      <c r="G95" s="9" t="s">
        <v>385</v>
      </c>
      <c r="H95" s="9" t="s">
        <v>4</v>
      </c>
      <c r="I95" s="9"/>
    </row>
    <row r="96" customFormat="false" ht="46.25" hidden="false" customHeight="false" outlineLevel="0" collapsed="false">
      <c r="A96" s="9" t="s">
        <v>11</v>
      </c>
      <c r="B96" s="9" t="s">
        <v>386</v>
      </c>
      <c r="C96" s="9" t="s">
        <v>387</v>
      </c>
      <c r="D96" s="9" t="s">
        <v>388</v>
      </c>
      <c r="E96" s="9" t="s">
        <v>389</v>
      </c>
      <c r="F96" s="9" t="s">
        <v>390</v>
      </c>
      <c r="G96" s="9" t="s">
        <v>391</v>
      </c>
      <c r="H96" s="9" t="s">
        <v>6</v>
      </c>
      <c r="I96" s="9" t="s">
        <v>392</v>
      </c>
    </row>
    <row r="97" customFormat="false" ht="35.05" hidden="false" customHeight="false" outlineLevel="0" collapsed="false">
      <c r="A97" s="9" t="s">
        <v>11</v>
      </c>
      <c r="B97" s="9" t="s">
        <v>386</v>
      </c>
      <c r="C97" s="9" t="s">
        <v>30</v>
      </c>
      <c r="D97" s="9" t="s">
        <v>393</v>
      </c>
      <c r="E97" s="9" t="s">
        <v>32</v>
      </c>
      <c r="F97" s="9" t="s">
        <v>394</v>
      </c>
      <c r="G97" s="9" t="s">
        <v>391</v>
      </c>
      <c r="H97" s="9" t="s">
        <v>6</v>
      </c>
      <c r="I97" s="9" t="s">
        <v>392</v>
      </c>
    </row>
    <row r="98" customFormat="false" ht="35.05" hidden="false" customHeight="false" outlineLevel="0" collapsed="false">
      <c r="A98" s="9" t="s">
        <v>11</v>
      </c>
      <c r="B98" s="9" t="s">
        <v>386</v>
      </c>
      <c r="C98" s="9" t="s">
        <v>30</v>
      </c>
      <c r="D98" s="9" t="s">
        <v>395</v>
      </c>
      <c r="E98" s="9" t="s">
        <v>37</v>
      </c>
      <c r="F98" s="9" t="s">
        <v>396</v>
      </c>
      <c r="G98" s="9" t="s">
        <v>391</v>
      </c>
      <c r="H98" s="9" t="s">
        <v>6</v>
      </c>
      <c r="I98" s="9" t="s">
        <v>392</v>
      </c>
    </row>
    <row r="99" customFormat="false" ht="23.85" hidden="false" customHeight="false" outlineLevel="0" collapsed="false">
      <c r="A99" s="9" t="s">
        <v>11</v>
      </c>
      <c r="B99" s="9" t="s">
        <v>386</v>
      </c>
      <c r="C99" s="9" t="s">
        <v>40</v>
      </c>
      <c r="D99" s="9" t="s">
        <v>397</v>
      </c>
      <c r="E99" s="9" t="s">
        <v>42</v>
      </c>
      <c r="F99" s="9" t="s">
        <v>233</v>
      </c>
      <c r="G99" s="9" t="s">
        <v>391</v>
      </c>
      <c r="H99" s="9" t="s">
        <v>6</v>
      </c>
      <c r="I99" s="9" t="s">
        <v>392</v>
      </c>
    </row>
    <row r="100" customFormat="false" ht="23.85" hidden="false" customHeight="false" outlineLevel="0" collapsed="false">
      <c r="A100" s="9" t="s">
        <v>11</v>
      </c>
      <c r="B100" s="9" t="s">
        <v>386</v>
      </c>
      <c r="C100" s="9" t="s">
        <v>40</v>
      </c>
      <c r="D100" s="9" t="s">
        <v>398</v>
      </c>
      <c r="E100" s="9" t="s">
        <v>51</v>
      </c>
      <c r="F100" s="9" t="s">
        <v>52</v>
      </c>
      <c r="G100" s="9" t="s">
        <v>391</v>
      </c>
      <c r="H100" s="9" t="s">
        <v>6</v>
      </c>
      <c r="I100" s="9" t="s">
        <v>392</v>
      </c>
    </row>
    <row r="101" customFormat="false" ht="35.05" hidden="false" customHeight="false" outlineLevel="0" collapsed="false">
      <c r="A101" s="9" t="s">
        <v>11</v>
      </c>
      <c r="B101" s="9" t="s">
        <v>386</v>
      </c>
      <c r="C101" s="9" t="s">
        <v>55</v>
      </c>
      <c r="D101" s="9" t="s">
        <v>399</v>
      </c>
      <c r="E101" s="9" t="s">
        <v>57</v>
      </c>
      <c r="F101" s="9" t="s">
        <v>58</v>
      </c>
      <c r="G101" s="9" t="s">
        <v>391</v>
      </c>
      <c r="H101" s="9" t="s">
        <v>6</v>
      </c>
      <c r="I101" s="9" t="s">
        <v>392</v>
      </c>
    </row>
    <row r="102" customFormat="false" ht="23.85" hidden="false" customHeight="false" outlineLevel="0" collapsed="false">
      <c r="A102" s="9" t="s">
        <v>11</v>
      </c>
      <c r="B102" s="9" t="s">
        <v>386</v>
      </c>
      <c r="C102" s="9" t="s">
        <v>65</v>
      </c>
      <c r="D102" s="9" t="s">
        <v>400</v>
      </c>
      <c r="E102" s="9" t="s">
        <v>67</v>
      </c>
      <c r="F102" s="9" t="s">
        <v>401</v>
      </c>
      <c r="G102" s="9" t="s">
        <v>391</v>
      </c>
      <c r="H102" s="9" t="s">
        <v>6</v>
      </c>
      <c r="I102" s="9" t="s">
        <v>392</v>
      </c>
    </row>
    <row r="103" customFormat="false" ht="23.85" hidden="false" customHeight="false" outlineLevel="0" collapsed="false">
      <c r="A103" s="9" t="s">
        <v>11</v>
      </c>
      <c r="B103" s="9" t="s">
        <v>386</v>
      </c>
      <c r="C103" s="9" t="s">
        <v>65</v>
      </c>
      <c r="D103" s="9" t="s">
        <v>402</v>
      </c>
      <c r="E103" s="9" t="s">
        <v>403</v>
      </c>
      <c r="F103" s="9" t="s">
        <v>404</v>
      </c>
      <c r="G103" s="9" t="s">
        <v>391</v>
      </c>
      <c r="H103" s="9" t="s">
        <v>6</v>
      </c>
      <c r="I103" s="9" t="s">
        <v>392</v>
      </c>
    </row>
    <row r="104" customFormat="false" ht="23.85" hidden="false" customHeight="false" outlineLevel="0" collapsed="false">
      <c r="A104" s="9" t="s">
        <v>11</v>
      </c>
      <c r="B104" s="9" t="s">
        <v>386</v>
      </c>
      <c r="C104" s="9" t="s">
        <v>83</v>
      </c>
      <c r="D104" s="9" t="s">
        <v>405</v>
      </c>
      <c r="E104" s="9" t="s">
        <v>85</v>
      </c>
      <c r="F104" s="9" t="s">
        <v>86</v>
      </c>
      <c r="G104" s="9" t="s">
        <v>391</v>
      </c>
      <c r="H104" s="9" t="s">
        <v>6</v>
      </c>
      <c r="I104" s="9" t="s">
        <v>392</v>
      </c>
    </row>
    <row r="105" customFormat="false" ht="23.85" hidden="false" customHeight="false" outlineLevel="0" collapsed="false">
      <c r="A105" s="9" t="s">
        <v>11</v>
      </c>
      <c r="B105" s="9" t="s">
        <v>386</v>
      </c>
      <c r="C105" s="9" t="s">
        <v>83</v>
      </c>
      <c r="D105" s="9" t="s">
        <v>406</v>
      </c>
      <c r="E105" s="9" t="s">
        <v>89</v>
      </c>
      <c r="F105" s="9" t="s">
        <v>90</v>
      </c>
      <c r="G105" s="9" t="s">
        <v>391</v>
      </c>
      <c r="H105" s="9" t="s">
        <v>6</v>
      </c>
      <c r="I105" s="9" t="s">
        <v>392</v>
      </c>
    </row>
    <row r="106" customFormat="false" ht="23.85" hidden="false" customHeight="false" outlineLevel="0" collapsed="false">
      <c r="A106" s="9" t="s">
        <v>11</v>
      </c>
      <c r="B106" s="9" t="s">
        <v>386</v>
      </c>
      <c r="C106" s="9" t="s">
        <v>83</v>
      </c>
      <c r="D106" s="9" t="s">
        <v>407</v>
      </c>
      <c r="E106" s="9" t="s">
        <v>94</v>
      </c>
      <c r="F106" s="9" t="s">
        <v>408</v>
      </c>
      <c r="G106" s="9" t="s">
        <v>391</v>
      </c>
      <c r="H106" s="9" t="s">
        <v>6</v>
      </c>
      <c r="I106" s="9" t="s">
        <v>392</v>
      </c>
    </row>
    <row r="107" customFormat="false" ht="23.85" hidden="false" customHeight="false" outlineLevel="0" collapsed="false">
      <c r="A107" s="9" t="s">
        <v>11</v>
      </c>
      <c r="B107" s="9" t="s">
        <v>386</v>
      </c>
      <c r="C107" s="9" t="s">
        <v>247</v>
      </c>
      <c r="D107" s="9" t="s">
        <v>409</v>
      </c>
      <c r="E107" s="9" t="s">
        <v>249</v>
      </c>
      <c r="F107" s="9" t="s">
        <v>250</v>
      </c>
      <c r="G107" s="9" t="s">
        <v>391</v>
      </c>
      <c r="H107" s="9" t="s">
        <v>6</v>
      </c>
      <c r="I107" s="9" t="s">
        <v>392</v>
      </c>
    </row>
    <row r="108" customFormat="false" ht="23.85" hidden="false" customHeight="false" outlineLevel="0" collapsed="false">
      <c r="A108" s="9" t="s">
        <v>11</v>
      </c>
      <c r="B108" s="9" t="s">
        <v>386</v>
      </c>
      <c r="C108" s="9" t="s">
        <v>247</v>
      </c>
      <c r="D108" s="9" t="s">
        <v>410</v>
      </c>
      <c r="E108" s="9" t="s">
        <v>411</v>
      </c>
      <c r="F108" s="9" t="s">
        <v>412</v>
      </c>
      <c r="G108" s="9" t="s">
        <v>391</v>
      </c>
      <c r="H108" s="9" t="s">
        <v>6</v>
      </c>
      <c r="I108" s="9" t="s">
        <v>392</v>
      </c>
    </row>
    <row r="109" customFormat="false" ht="23.85" hidden="false" customHeight="false" outlineLevel="0" collapsed="false">
      <c r="A109" s="9" t="s">
        <v>11</v>
      </c>
      <c r="B109" s="9" t="s">
        <v>386</v>
      </c>
      <c r="C109" s="9" t="s">
        <v>247</v>
      </c>
      <c r="D109" s="9" t="s">
        <v>413</v>
      </c>
      <c r="E109" s="9" t="s">
        <v>255</v>
      </c>
      <c r="F109" s="9" t="s">
        <v>256</v>
      </c>
      <c r="G109" s="9" t="s">
        <v>391</v>
      </c>
      <c r="H109" s="9" t="s">
        <v>6</v>
      </c>
      <c r="I109" s="9" t="s">
        <v>392</v>
      </c>
    </row>
    <row r="110" customFormat="false" ht="23.85" hidden="false" customHeight="false" outlineLevel="0" collapsed="false">
      <c r="A110" s="9" t="s">
        <v>11</v>
      </c>
      <c r="B110" s="9" t="s">
        <v>386</v>
      </c>
      <c r="C110" s="9" t="s">
        <v>247</v>
      </c>
      <c r="D110" s="9" t="s">
        <v>414</v>
      </c>
      <c r="E110" s="9" t="s">
        <v>415</v>
      </c>
      <c r="F110" s="9" t="s">
        <v>416</v>
      </c>
      <c r="G110" s="9" t="s">
        <v>391</v>
      </c>
      <c r="H110" s="9" t="s">
        <v>6</v>
      </c>
      <c r="I110" s="9" t="s">
        <v>392</v>
      </c>
    </row>
    <row r="111" customFormat="false" ht="23.85" hidden="false" customHeight="false" outlineLevel="0" collapsed="false">
      <c r="A111" s="9" t="s">
        <v>11</v>
      </c>
      <c r="B111" s="9" t="s">
        <v>386</v>
      </c>
      <c r="C111" s="9" t="s">
        <v>276</v>
      </c>
      <c r="D111" s="9" t="s">
        <v>417</v>
      </c>
      <c r="E111" s="9" t="s">
        <v>278</v>
      </c>
      <c r="F111" s="9" t="s">
        <v>418</v>
      </c>
      <c r="G111" s="9" t="s">
        <v>391</v>
      </c>
      <c r="H111" s="9" t="s">
        <v>6</v>
      </c>
      <c r="I111" s="9" t="s">
        <v>392</v>
      </c>
    </row>
    <row r="112" customFormat="false" ht="23.85" hidden="false" customHeight="false" outlineLevel="0" collapsed="false">
      <c r="A112" s="9" t="s">
        <v>11</v>
      </c>
      <c r="B112" s="9" t="s">
        <v>386</v>
      </c>
      <c r="C112" s="9" t="s">
        <v>276</v>
      </c>
      <c r="D112" s="9" t="s">
        <v>419</v>
      </c>
      <c r="E112" s="9" t="s">
        <v>281</v>
      </c>
      <c r="F112" s="9" t="s">
        <v>420</v>
      </c>
      <c r="G112" s="9" t="s">
        <v>391</v>
      </c>
      <c r="H112" s="9" t="s">
        <v>6</v>
      </c>
      <c r="I112" s="9" t="s">
        <v>392</v>
      </c>
    </row>
    <row r="113" customFormat="false" ht="23.85" hidden="false" customHeight="false" outlineLevel="0" collapsed="false">
      <c r="A113" s="9" t="s">
        <v>11</v>
      </c>
      <c r="B113" s="9" t="s">
        <v>386</v>
      </c>
      <c r="C113" s="9" t="s">
        <v>276</v>
      </c>
      <c r="D113" s="9" t="s">
        <v>421</v>
      </c>
      <c r="E113" s="9" t="s">
        <v>284</v>
      </c>
      <c r="F113" s="9" t="s">
        <v>285</v>
      </c>
      <c r="G113" s="9" t="s">
        <v>391</v>
      </c>
      <c r="H113" s="9" t="s">
        <v>6</v>
      </c>
      <c r="I113" s="9" t="s">
        <v>392</v>
      </c>
    </row>
    <row r="114" customFormat="false" ht="23.85" hidden="false" customHeight="false" outlineLevel="0" collapsed="false">
      <c r="A114" s="9" t="s">
        <v>11</v>
      </c>
      <c r="B114" s="9" t="s">
        <v>386</v>
      </c>
      <c r="C114" s="9" t="s">
        <v>387</v>
      </c>
      <c r="D114" s="9" t="s">
        <v>422</v>
      </c>
      <c r="E114" s="9" t="s">
        <v>287</v>
      </c>
      <c r="F114" s="9" t="s">
        <v>423</v>
      </c>
      <c r="G114" s="9" t="s">
        <v>391</v>
      </c>
      <c r="H114" s="9" t="s">
        <v>6</v>
      </c>
      <c r="I114" s="9" t="s">
        <v>392</v>
      </c>
    </row>
    <row r="115" customFormat="false" ht="35.05" hidden="false" customHeight="false" outlineLevel="0" collapsed="false">
      <c r="A115" s="9" t="s">
        <v>11</v>
      </c>
      <c r="B115" s="9" t="s">
        <v>386</v>
      </c>
      <c r="C115" s="9" t="s">
        <v>289</v>
      </c>
      <c r="D115" s="9" t="s">
        <v>424</v>
      </c>
      <c r="E115" s="9" t="s">
        <v>425</v>
      </c>
      <c r="F115" s="9" t="s">
        <v>426</v>
      </c>
      <c r="G115" s="9" t="s">
        <v>427</v>
      </c>
      <c r="H115" s="9" t="s">
        <v>5</v>
      </c>
      <c r="I115" s="9" t="s">
        <v>428</v>
      </c>
    </row>
    <row r="116" customFormat="false" ht="23.85" hidden="false" customHeight="false" outlineLevel="0" collapsed="false">
      <c r="A116" s="9" t="s">
        <v>11</v>
      </c>
      <c r="B116" s="9" t="s">
        <v>386</v>
      </c>
      <c r="C116" s="9" t="s">
        <v>289</v>
      </c>
      <c r="D116" s="9" t="s">
        <v>429</v>
      </c>
      <c r="E116" s="9" t="s">
        <v>296</v>
      </c>
      <c r="F116" s="9" t="s">
        <v>430</v>
      </c>
      <c r="G116" s="9" t="s">
        <v>427</v>
      </c>
      <c r="H116" s="9" t="s">
        <v>5</v>
      </c>
      <c r="I116" s="9" t="s">
        <v>428</v>
      </c>
    </row>
    <row r="117" customFormat="false" ht="23.85" hidden="false" customHeight="false" outlineLevel="0" collapsed="false">
      <c r="A117" s="9" t="s">
        <v>11</v>
      </c>
      <c r="B117" s="9" t="s">
        <v>386</v>
      </c>
      <c r="C117" s="9" t="s">
        <v>289</v>
      </c>
      <c r="D117" s="9" t="s">
        <v>431</v>
      </c>
      <c r="E117" s="9" t="s">
        <v>112</v>
      </c>
      <c r="F117" s="9" t="s">
        <v>299</v>
      </c>
      <c r="G117" s="9" t="s">
        <v>427</v>
      </c>
      <c r="H117" s="9" t="s">
        <v>5</v>
      </c>
      <c r="I117" s="9" t="s">
        <v>428</v>
      </c>
    </row>
    <row r="118" customFormat="false" ht="23.85" hidden="false" customHeight="false" outlineLevel="0" collapsed="false">
      <c r="A118" s="9" t="s">
        <v>11</v>
      </c>
      <c r="B118" s="9" t="s">
        <v>386</v>
      </c>
      <c r="C118" s="9" t="s">
        <v>289</v>
      </c>
      <c r="D118" s="9" t="s">
        <v>432</v>
      </c>
      <c r="E118" s="9" t="s">
        <v>301</v>
      </c>
      <c r="F118" s="9" t="s">
        <v>433</v>
      </c>
      <c r="G118" s="9" t="s">
        <v>427</v>
      </c>
      <c r="H118" s="9" t="s">
        <v>5</v>
      </c>
      <c r="I118" s="9" t="s">
        <v>428</v>
      </c>
    </row>
    <row r="119" customFormat="false" ht="23.85" hidden="false" customHeight="false" outlineLevel="0" collapsed="false">
      <c r="A119" s="9" t="s">
        <v>11</v>
      </c>
      <c r="B119" s="9" t="s">
        <v>386</v>
      </c>
      <c r="C119" s="9" t="s">
        <v>289</v>
      </c>
      <c r="D119" s="9" t="s">
        <v>434</v>
      </c>
      <c r="E119" s="9" t="s">
        <v>304</v>
      </c>
      <c r="F119" s="9" t="s">
        <v>435</v>
      </c>
      <c r="G119" s="9" t="s">
        <v>427</v>
      </c>
      <c r="H119" s="9" t="s">
        <v>5</v>
      </c>
      <c r="I119" s="9" t="s">
        <v>428</v>
      </c>
    </row>
    <row r="120" customFormat="false" ht="23.85" hidden="false" customHeight="false" outlineLevel="0" collapsed="false">
      <c r="A120" s="9" t="s">
        <v>11</v>
      </c>
      <c r="B120" s="9" t="s">
        <v>386</v>
      </c>
      <c r="C120" s="9" t="s">
        <v>289</v>
      </c>
      <c r="D120" s="9" t="s">
        <v>436</v>
      </c>
      <c r="E120" s="9" t="s">
        <v>307</v>
      </c>
      <c r="F120" s="9" t="s">
        <v>308</v>
      </c>
      <c r="G120" s="9" t="s">
        <v>427</v>
      </c>
      <c r="H120" s="9" t="s">
        <v>5</v>
      </c>
      <c r="I120" s="9" t="s">
        <v>428</v>
      </c>
    </row>
    <row r="121" customFormat="false" ht="15" hidden="false" customHeight="false" outlineLevel="0" collapsed="false">
      <c r="A121" s="9" t="s">
        <v>11</v>
      </c>
      <c r="B121" s="9" t="s">
        <v>386</v>
      </c>
      <c r="C121" s="9" t="s">
        <v>289</v>
      </c>
      <c r="D121" s="9" t="s">
        <v>437</v>
      </c>
      <c r="E121" s="9" t="s">
        <v>438</v>
      </c>
      <c r="F121" s="9" t="s">
        <v>439</v>
      </c>
      <c r="G121" s="9" t="s">
        <v>440</v>
      </c>
      <c r="H121" s="9" t="s">
        <v>6</v>
      </c>
      <c r="I121" s="9" t="s">
        <v>441</v>
      </c>
    </row>
    <row r="122" customFormat="false" ht="23.85" hidden="false" customHeight="false" outlineLevel="0" collapsed="false">
      <c r="A122" s="9" t="s">
        <v>11</v>
      </c>
      <c r="B122" s="9" t="s">
        <v>386</v>
      </c>
      <c r="C122" s="9" t="s">
        <v>157</v>
      </c>
      <c r="D122" s="9" t="s">
        <v>442</v>
      </c>
      <c r="E122" s="9" t="s">
        <v>443</v>
      </c>
      <c r="F122" s="9" t="s">
        <v>444</v>
      </c>
      <c r="G122" s="9" t="s">
        <v>445</v>
      </c>
      <c r="H122" s="9" t="s">
        <v>6</v>
      </c>
      <c r="I122" s="9" t="s">
        <v>392</v>
      </c>
    </row>
    <row r="123" customFormat="false" ht="35.05" hidden="false" customHeight="false" outlineLevel="0" collapsed="false">
      <c r="A123" s="9" t="s">
        <v>11</v>
      </c>
      <c r="B123" s="9" t="s">
        <v>386</v>
      </c>
      <c r="C123" s="9" t="s">
        <v>157</v>
      </c>
      <c r="D123" s="9" t="s">
        <v>446</v>
      </c>
      <c r="E123" s="9" t="s">
        <v>447</v>
      </c>
      <c r="F123" s="9" t="s">
        <v>448</v>
      </c>
      <c r="G123" s="9" t="s">
        <v>321</v>
      </c>
      <c r="H123" s="9" t="s">
        <v>6</v>
      </c>
      <c r="I123" s="9" t="s">
        <v>74</v>
      </c>
    </row>
    <row r="124" customFormat="false" ht="23.85" hidden="false" customHeight="false" outlineLevel="0" collapsed="false">
      <c r="A124" s="9" t="s">
        <v>11</v>
      </c>
      <c r="B124" s="9" t="s">
        <v>386</v>
      </c>
      <c r="C124" s="9" t="s">
        <v>157</v>
      </c>
      <c r="D124" s="9" t="s">
        <v>449</v>
      </c>
      <c r="E124" s="9" t="s">
        <v>450</v>
      </c>
      <c r="F124" s="9" t="s">
        <v>451</v>
      </c>
      <c r="G124" s="9" t="s">
        <v>452</v>
      </c>
      <c r="H124" s="9" t="s">
        <v>4</v>
      </c>
      <c r="I124" s="9"/>
    </row>
    <row r="125" customFormat="false" ht="35.05" hidden="false" customHeight="false" outlineLevel="0" collapsed="false">
      <c r="A125" s="9" t="s">
        <v>11</v>
      </c>
      <c r="B125" s="9" t="s">
        <v>386</v>
      </c>
      <c r="C125" s="9" t="s">
        <v>157</v>
      </c>
      <c r="D125" s="9" t="s">
        <v>453</v>
      </c>
      <c r="E125" s="9" t="s">
        <v>454</v>
      </c>
      <c r="F125" s="9" t="s">
        <v>455</v>
      </c>
      <c r="G125" s="9" t="s">
        <v>456</v>
      </c>
      <c r="H125" s="9" t="s">
        <v>6</v>
      </c>
      <c r="I125" s="9" t="s">
        <v>74</v>
      </c>
    </row>
    <row r="126" customFormat="false" ht="35.05" hidden="false" customHeight="false" outlineLevel="0" collapsed="false">
      <c r="A126" s="9" t="s">
        <v>11</v>
      </c>
      <c r="B126" s="9" t="s">
        <v>386</v>
      </c>
      <c r="C126" s="9" t="s">
        <v>157</v>
      </c>
      <c r="D126" s="9" t="s">
        <v>457</v>
      </c>
      <c r="E126" s="9" t="s">
        <v>458</v>
      </c>
      <c r="F126" s="9" t="s">
        <v>459</v>
      </c>
      <c r="G126" s="9" t="s">
        <v>334</v>
      </c>
      <c r="H126" s="9" t="s">
        <v>6</v>
      </c>
      <c r="I126" s="9" t="s">
        <v>74</v>
      </c>
    </row>
    <row r="127" customFormat="false" ht="46.25" hidden="false" customHeight="false" outlineLevel="0" collapsed="false">
      <c r="A127" s="9" t="s">
        <v>11</v>
      </c>
      <c r="B127" s="9" t="s">
        <v>386</v>
      </c>
      <c r="C127" s="9" t="s">
        <v>157</v>
      </c>
      <c r="D127" s="9" t="s">
        <v>460</v>
      </c>
      <c r="E127" s="9" t="s">
        <v>163</v>
      </c>
      <c r="F127" s="9" t="s">
        <v>461</v>
      </c>
      <c r="G127" s="9" t="s">
        <v>462</v>
      </c>
      <c r="H127" s="9" t="s">
        <v>6</v>
      </c>
      <c r="I127" s="9" t="s">
        <v>166</v>
      </c>
    </row>
    <row r="128" customFormat="false" ht="35.05" hidden="false" customHeight="false" outlineLevel="0" collapsed="false">
      <c r="A128" s="9" t="s">
        <v>11</v>
      </c>
      <c r="B128" s="9" t="s">
        <v>386</v>
      </c>
      <c r="C128" s="9" t="s">
        <v>387</v>
      </c>
      <c r="D128" s="9" t="s">
        <v>463</v>
      </c>
      <c r="E128" s="9" t="s">
        <v>168</v>
      </c>
      <c r="F128" s="9" t="s">
        <v>169</v>
      </c>
      <c r="G128" s="9" t="s">
        <v>464</v>
      </c>
      <c r="H128" s="9" t="s">
        <v>6</v>
      </c>
      <c r="I128" s="9" t="s">
        <v>392</v>
      </c>
    </row>
    <row r="129" customFormat="false" ht="46.25" hidden="false" customHeight="false" outlineLevel="0" collapsed="false">
      <c r="A129" s="9" t="s">
        <v>11</v>
      </c>
      <c r="B129" s="9" t="s">
        <v>386</v>
      </c>
      <c r="C129" s="9" t="s">
        <v>387</v>
      </c>
      <c r="D129" s="9" t="s">
        <v>465</v>
      </c>
      <c r="E129" s="9" t="s">
        <v>342</v>
      </c>
      <c r="F129" s="9" t="s">
        <v>343</v>
      </c>
      <c r="G129" s="9" t="s">
        <v>464</v>
      </c>
      <c r="H129" s="9" t="s">
        <v>6</v>
      </c>
      <c r="I129" s="9" t="s">
        <v>392</v>
      </c>
    </row>
    <row r="130" customFormat="false" ht="46.25" hidden="false" customHeight="false" outlineLevel="0" collapsed="false">
      <c r="A130" s="9" t="s">
        <v>11</v>
      </c>
      <c r="B130" s="9" t="s">
        <v>386</v>
      </c>
      <c r="C130" s="9" t="s">
        <v>387</v>
      </c>
      <c r="D130" s="9" t="s">
        <v>466</v>
      </c>
      <c r="E130" s="9" t="s">
        <v>178</v>
      </c>
      <c r="F130" s="9" t="s">
        <v>467</v>
      </c>
      <c r="G130" s="9" t="s">
        <v>464</v>
      </c>
      <c r="H130" s="9" t="s">
        <v>6</v>
      </c>
      <c r="I130" s="9" t="s">
        <v>392</v>
      </c>
    </row>
    <row r="131" customFormat="false" ht="35.05" hidden="false" customHeight="false" outlineLevel="0" collapsed="false">
      <c r="A131" s="9" t="s">
        <v>11</v>
      </c>
      <c r="B131" s="9" t="s">
        <v>386</v>
      </c>
      <c r="C131" s="9" t="s">
        <v>387</v>
      </c>
      <c r="D131" s="9" t="s">
        <v>468</v>
      </c>
      <c r="E131" s="9" t="s">
        <v>182</v>
      </c>
      <c r="F131" s="9" t="s">
        <v>183</v>
      </c>
      <c r="G131" s="9" t="s">
        <v>464</v>
      </c>
      <c r="H131" s="9" t="s">
        <v>6</v>
      </c>
      <c r="I131" s="9" t="s">
        <v>392</v>
      </c>
    </row>
    <row r="132" customFormat="false" ht="46.25" hidden="false" customHeight="false" outlineLevel="0" collapsed="false">
      <c r="A132" s="9" t="s">
        <v>11</v>
      </c>
      <c r="B132" s="9" t="s">
        <v>386</v>
      </c>
      <c r="C132" s="9" t="s">
        <v>387</v>
      </c>
      <c r="D132" s="9" t="s">
        <v>469</v>
      </c>
      <c r="E132" s="9" t="s">
        <v>348</v>
      </c>
      <c r="F132" s="9" t="s">
        <v>470</v>
      </c>
      <c r="G132" s="9" t="s">
        <v>464</v>
      </c>
      <c r="H132" s="9" t="s">
        <v>6</v>
      </c>
      <c r="I132" s="9" t="s">
        <v>392</v>
      </c>
    </row>
    <row r="133" customFormat="false" ht="68.65" hidden="false" customHeight="false" outlineLevel="0" collapsed="false">
      <c r="A133" s="9" t="s">
        <v>11</v>
      </c>
      <c r="B133" s="9" t="s">
        <v>386</v>
      </c>
      <c r="C133" s="9" t="s">
        <v>387</v>
      </c>
      <c r="D133" s="9" t="s">
        <v>471</v>
      </c>
      <c r="E133" s="9" t="s">
        <v>351</v>
      </c>
      <c r="F133" s="9" t="s">
        <v>472</v>
      </c>
      <c r="G133" s="9" t="s">
        <v>464</v>
      </c>
      <c r="H133" s="9" t="s">
        <v>6</v>
      </c>
      <c r="I133" s="9" t="s">
        <v>392</v>
      </c>
    </row>
    <row r="134" customFormat="false" ht="35.05" hidden="false" customHeight="false" outlineLevel="0" collapsed="false">
      <c r="A134" s="9" t="s">
        <v>11</v>
      </c>
      <c r="B134" s="9" t="s">
        <v>386</v>
      </c>
      <c r="C134" s="9" t="s">
        <v>387</v>
      </c>
      <c r="D134" s="9" t="s">
        <v>473</v>
      </c>
      <c r="E134" s="9" t="s">
        <v>474</v>
      </c>
      <c r="F134" s="9" t="s">
        <v>475</v>
      </c>
      <c r="G134" s="9" t="s">
        <v>464</v>
      </c>
      <c r="H134" s="9" t="s">
        <v>6</v>
      </c>
      <c r="I134" s="9" t="s">
        <v>392</v>
      </c>
    </row>
    <row r="135" customFormat="false" ht="57.45" hidden="false" customHeight="false" outlineLevel="0" collapsed="false">
      <c r="A135" s="9" t="s">
        <v>11</v>
      </c>
      <c r="B135" s="9" t="s">
        <v>386</v>
      </c>
      <c r="C135" s="9" t="s">
        <v>276</v>
      </c>
      <c r="D135" s="9" t="s">
        <v>476</v>
      </c>
      <c r="E135" s="9" t="s">
        <v>357</v>
      </c>
      <c r="F135" s="9" t="s">
        <v>358</v>
      </c>
      <c r="G135" s="9" t="s">
        <v>477</v>
      </c>
      <c r="H135" s="9" t="s">
        <v>6</v>
      </c>
      <c r="I135" s="9" t="s">
        <v>478</v>
      </c>
    </row>
    <row r="136" customFormat="false" ht="46.25" hidden="false" customHeight="false" outlineLevel="0" collapsed="false">
      <c r="A136" s="9" t="s">
        <v>11</v>
      </c>
      <c r="B136" s="9" t="s">
        <v>386</v>
      </c>
      <c r="C136" s="9" t="s">
        <v>276</v>
      </c>
      <c r="D136" s="9" t="s">
        <v>479</v>
      </c>
      <c r="E136" s="9" t="s">
        <v>362</v>
      </c>
      <c r="F136" s="9" t="s">
        <v>363</v>
      </c>
      <c r="G136" s="9" t="s">
        <v>480</v>
      </c>
      <c r="H136" s="9" t="s">
        <v>6</v>
      </c>
      <c r="I136" s="9" t="s">
        <v>176</v>
      </c>
    </row>
    <row r="137" customFormat="false" ht="57.45" hidden="false" customHeight="false" outlineLevel="0" collapsed="false">
      <c r="A137" s="9" t="s">
        <v>11</v>
      </c>
      <c r="B137" s="9" t="s">
        <v>386</v>
      </c>
      <c r="C137" s="9" t="s">
        <v>276</v>
      </c>
      <c r="D137" s="9" t="s">
        <v>481</v>
      </c>
      <c r="E137" s="9" t="s">
        <v>366</v>
      </c>
      <c r="F137" s="9" t="s">
        <v>367</v>
      </c>
      <c r="G137" s="9" t="s">
        <v>482</v>
      </c>
      <c r="H137" s="9" t="s">
        <v>6</v>
      </c>
      <c r="I137" s="9" t="s">
        <v>176</v>
      </c>
    </row>
    <row r="138" customFormat="false" ht="35.05" hidden="false" customHeight="false" outlineLevel="0" collapsed="false">
      <c r="A138" s="9" t="s">
        <v>11</v>
      </c>
      <c r="B138" s="9" t="s">
        <v>386</v>
      </c>
      <c r="C138" s="9" t="s">
        <v>387</v>
      </c>
      <c r="D138" s="9" t="s">
        <v>483</v>
      </c>
      <c r="E138" s="9" t="s">
        <v>209</v>
      </c>
      <c r="F138" s="9" t="s">
        <v>370</v>
      </c>
      <c r="G138" s="9" t="s">
        <v>464</v>
      </c>
      <c r="H138" s="9" t="s">
        <v>6</v>
      </c>
      <c r="I138" s="9" t="s">
        <v>392</v>
      </c>
    </row>
    <row r="139" customFormat="false" ht="46.25" hidden="false" customHeight="false" outlineLevel="0" collapsed="false">
      <c r="A139" s="9" t="s">
        <v>11</v>
      </c>
      <c r="B139" s="9" t="s">
        <v>386</v>
      </c>
      <c r="C139" s="9" t="s">
        <v>289</v>
      </c>
      <c r="D139" s="9" t="s">
        <v>484</v>
      </c>
      <c r="E139" s="9" t="s">
        <v>485</v>
      </c>
      <c r="F139" s="9" t="s">
        <v>486</v>
      </c>
      <c r="G139" s="9" t="s">
        <v>487</v>
      </c>
      <c r="H139" s="9" t="s">
        <v>5</v>
      </c>
      <c r="I139" s="9"/>
    </row>
    <row r="140" customFormat="false" ht="35.05" hidden="false" customHeight="false" outlineLevel="0" collapsed="false">
      <c r="A140" s="9" t="s">
        <v>11</v>
      </c>
      <c r="B140" s="9" t="s">
        <v>386</v>
      </c>
      <c r="C140" s="9" t="s">
        <v>289</v>
      </c>
      <c r="D140" s="9" t="s">
        <v>488</v>
      </c>
      <c r="E140" s="9" t="s">
        <v>376</v>
      </c>
      <c r="F140" s="9" t="s">
        <v>377</v>
      </c>
      <c r="G140" s="9" t="s">
        <v>489</v>
      </c>
      <c r="H140" s="9" t="s">
        <v>5</v>
      </c>
      <c r="I140" s="9" t="s">
        <v>379</v>
      </c>
    </row>
    <row r="141" customFormat="false" ht="35.05" hidden="false" customHeight="false" outlineLevel="0" collapsed="false">
      <c r="A141" s="9" t="s">
        <v>11</v>
      </c>
      <c r="B141" s="9" t="s">
        <v>386</v>
      </c>
      <c r="C141" s="9" t="s">
        <v>157</v>
      </c>
      <c r="D141" s="9" t="s">
        <v>490</v>
      </c>
      <c r="E141" s="9" t="s">
        <v>213</v>
      </c>
      <c r="F141" s="9" t="s">
        <v>491</v>
      </c>
      <c r="G141" s="9" t="s">
        <v>492</v>
      </c>
      <c r="H141" s="9" t="s">
        <v>6</v>
      </c>
      <c r="I141" s="9" t="s">
        <v>392</v>
      </c>
    </row>
    <row r="142" customFormat="false" ht="23.85" hidden="false" customHeight="false" outlineLevel="0" collapsed="false">
      <c r="A142" s="9" t="s">
        <v>11</v>
      </c>
      <c r="B142" s="9" t="s">
        <v>386</v>
      </c>
      <c r="C142" s="9" t="s">
        <v>157</v>
      </c>
      <c r="D142" s="9" t="s">
        <v>493</v>
      </c>
      <c r="E142" s="9" t="s">
        <v>218</v>
      </c>
      <c r="F142" s="9" t="s">
        <v>219</v>
      </c>
      <c r="G142" s="9" t="s">
        <v>494</v>
      </c>
      <c r="H142" s="9" t="s">
        <v>6</v>
      </c>
      <c r="I142" s="9" t="s">
        <v>392</v>
      </c>
    </row>
    <row r="143" customFormat="false" ht="46.25" hidden="false" customHeight="false" outlineLevel="0" collapsed="false">
      <c r="A143" s="9" t="s">
        <v>12</v>
      </c>
      <c r="B143" s="9" t="s">
        <v>495</v>
      </c>
      <c r="C143" s="9" t="s">
        <v>496</v>
      </c>
      <c r="D143" s="9" t="s">
        <v>497</v>
      </c>
      <c r="E143" s="9" t="s">
        <v>498</v>
      </c>
      <c r="F143" s="9" t="s">
        <v>499</v>
      </c>
      <c r="G143" s="9" t="s">
        <v>500</v>
      </c>
      <c r="H143" s="9" t="s">
        <v>6</v>
      </c>
      <c r="I143" s="9" t="s">
        <v>501</v>
      </c>
    </row>
    <row r="144" customFormat="false" ht="23.85" hidden="false" customHeight="false" outlineLevel="0" collapsed="false">
      <c r="A144" s="9" t="s">
        <v>12</v>
      </c>
      <c r="B144" s="9" t="s">
        <v>495</v>
      </c>
      <c r="C144" s="9" t="s">
        <v>496</v>
      </c>
      <c r="D144" s="9" t="s">
        <v>502</v>
      </c>
      <c r="E144" s="9" t="s">
        <v>503</v>
      </c>
      <c r="F144" s="9" t="s">
        <v>504</v>
      </c>
      <c r="G144" s="9" t="s">
        <v>505</v>
      </c>
      <c r="H144" s="9" t="s">
        <v>5</v>
      </c>
      <c r="I144" s="9" t="s">
        <v>506</v>
      </c>
    </row>
    <row r="145" customFormat="false" ht="23.85" hidden="false" customHeight="false" outlineLevel="0" collapsed="false">
      <c r="A145" s="9" t="s">
        <v>12</v>
      </c>
      <c r="B145" s="9" t="s">
        <v>495</v>
      </c>
      <c r="C145" s="9" t="s">
        <v>496</v>
      </c>
      <c r="D145" s="9" t="s">
        <v>507</v>
      </c>
      <c r="E145" s="9" t="s">
        <v>508</v>
      </c>
      <c r="F145" s="9" t="s">
        <v>509</v>
      </c>
      <c r="G145" s="9" t="s">
        <v>510</v>
      </c>
      <c r="H145" s="9" t="s">
        <v>5</v>
      </c>
      <c r="I145" s="9" t="s">
        <v>511</v>
      </c>
    </row>
    <row r="146" customFormat="false" ht="23.85" hidden="false" customHeight="false" outlineLevel="0" collapsed="false">
      <c r="A146" s="9" t="s">
        <v>12</v>
      </c>
      <c r="B146" s="9" t="s">
        <v>495</v>
      </c>
      <c r="C146" s="9" t="s">
        <v>496</v>
      </c>
      <c r="D146" s="9" t="s">
        <v>512</v>
      </c>
      <c r="E146" s="9" t="s">
        <v>513</v>
      </c>
      <c r="F146" s="9" t="s">
        <v>514</v>
      </c>
      <c r="G146" s="9" t="s">
        <v>510</v>
      </c>
      <c r="H146" s="9" t="s">
        <v>5</v>
      </c>
      <c r="I146" s="9" t="s">
        <v>511</v>
      </c>
    </row>
    <row r="147" customFormat="false" ht="23.85" hidden="false" customHeight="false" outlineLevel="0" collapsed="false">
      <c r="A147" s="9" t="s">
        <v>12</v>
      </c>
      <c r="B147" s="9" t="s">
        <v>495</v>
      </c>
      <c r="C147" s="9" t="s">
        <v>496</v>
      </c>
      <c r="D147" s="9" t="s">
        <v>515</v>
      </c>
      <c r="E147" s="9" t="s">
        <v>516</v>
      </c>
      <c r="F147" s="9" t="s">
        <v>517</v>
      </c>
      <c r="G147" s="9" t="s">
        <v>510</v>
      </c>
      <c r="H147" s="9" t="s">
        <v>5</v>
      </c>
      <c r="I147" s="9" t="s">
        <v>511</v>
      </c>
    </row>
    <row r="148" customFormat="false" ht="35.05" hidden="false" customHeight="false" outlineLevel="0" collapsed="false">
      <c r="A148" s="9" t="s">
        <v>12</v>
      </c>
      <c r="B148" s="9" t="s">
        <v>495</v>
      </c>
      <c r="C148" s="9" t="s">
        <v>496</v>
      </c>
      <c r="D148" s="9" t="s">
        <v>518</v>
      </c>
      <c r="E148" s="9" t="s">
        <v>519</v>
      </c>
      <c r="F148" s="9" t="s">
        <v>520</v>
      </c>
      <c r="G148" s="9" t="s">
        <v>510</v>
      </c>
      <c r="H148" s="9" t="s">
        <v>5</v>
      </c>
      <c r="I148" s="9" t="s">
        <v>511</v>
      </c>
    </row>
    <row r="149" customFormat="false" ht="23.85" hidden="false" customHeight="false" outlineLevel="0" collapsed="false">
      <c r="A149" s="9" t="s">
        <v>12</v>
      </c>
      <c r="B149" s="9" t="s">
        <v>495</v>
      </c>
      <c r="C149" s="9" t="s">
        <v>496</v>
      </c>
      <c r="D149" s="9" t="s">
        <v>521</v>
      </c>
      <c r="E149" s="9" t="s">
        <v>522</v>
      </c>
      <c r="F149" s="9" t="s">
        <v>523</v>
      </c>
      <c r="G149" s="9" t="s">
        <v>510</v>
      </c>
      <c r="H149" s="9" t="s">
        <v>5</v>
      </c>
      <c r="I149" s="9" t="s">
        <v>511</v>
      </c>
    </row>
    <row r="150" customFormat="false" ht="23.85" hidden="false" customHeight="false" outlineLevel="0" collapsed="false">
      <c r="A150" s="9" t="s">
        <v>12</v>
      </c>
      <c r="B150" s="9" t="s">
        <v>495</v>
      </c>
      <c r="C150" s="9" t="s">
        <v>496</v>
      </c>
      <c r="D150" s="9" t="s">
        <v>524</v>
      </c>
      <c r="E150" s="9" t="s">
        <v>525</v>
      </c>
      <c r="F150" s="9" t="s">
        <v>526</v>
      </c>
      <c r="G150" s="9" t="s">
        <v>510</v>
      </c>
      <c r="H150" s="9" t="s">
        <v>5</v>
      </c>
      <c r="I150" s="9" t="s">
        <v>511</v>
      </c>
    </row>
    <row r="151" customFormat="false" ht="23.85" hidden="false" customHeight="false" outlineLevel="0" collapsed="false">
      <c r="A151" s="9" t="s">
        <v>12</v>
      </c>
      <c r="B151" s="9" t="s">
        <v>495</v>
      </c>
      <c r="C151" s="9" t="s">
        <v>496</v>
      </c>
      <c r="D151" s="9" t="s">
        <v>527</v>
      </c>
      <c r="E151" s="9" t="s">
        <v>528</v>
      </c>
      <c r="F151" s="9" t="s">
        <v>529</v>
      </c>
      <c r="G151" s="9" t="s">
        <v>510</v>
      </c>
      <c r="H151" s="9" t="s">
        <v>5</v>
      </c>
      <c r="I151" s="9" t="s">
        <v>511</v>
      </c>
    </row>
    <row r="152" customFormat="false" ht="46.25" hidden="false" customHeight="false" outlineLevel="0" collapsed="false">
      <c r="A152" s="9" t="s">
        <v>12</v>
      </c>
      <c r="B152" s="9" t="s">
        <v>495</v>
      </c>
      <c r="C152" s="9" t="s">
        <v>496</v>
      </c>
      <c r="D152" s="9" t="s">
        <v>530</v>
      </c>
      <c r="E152" s="9" t="s">
        <v>531</v>
      </c>
      <c r="F152" s="9" t="s">
        <v>532</v>
      </c>
      <c r="G152" s="9" t="s">
        <v>533</v>
      </c>
      <c r="H152" s="9" t="s">
        <v>6</v>
      </c>
      <c r="I152" s="9" t="s">
        <v>176</v>
      </c>
    </row>
    <row r="153" customFormat="false" ht="35.05" hidden="false" customHeight="false" outlineLevel="0" collapsed="false">
      <c r="A153" s="9" t="s">
        <v>12</v>
      </c>
      <c r="B153" s="9" t="s">
        <v>495</v>
      </c>
      <c r="C153" s="9" t="s">
        <v>496</v>
      </c>
      <c r="D153" s="9" t="s">
        <v>534</v>
      </c>
      <c r="E153" s="9" t="s">
        <v>535</v>
      </c>
      <c r="F153" s="9" t="s">
        <v>536</v>
      </c>
      <c r="G153" s="9" t="s">
        <v>537</v>
      </c>
      <c r="H153" s="9" t="s">
        <v>5</v>
      </c>
      <c r="I153" s="9" t="s">
        <v>511</v>
      </c>
    </row>
    <row r="154" customFormat="false" ht="46.25" hidden="false" customHeight="false" outlineLevel="0" collapsed="false">
      <c r="A154" s="9" t="s">
        <v>12</v>
      </c>
      <c r="B154" s="9" t="s">
        <v>495</v>
      </c>
      <c r="C154" s="9" t="s">
        <v>496</v>
      </c>
      <c r="D154" s="9" t="s">
        <v>538</v>
      </c>
      <c r="E154" s="9" t="s">
        <v>539</v>
      </c>
      <c r="F154" s="9" t="s">
        <v>540</v>
      </c>
      <c r="G154" s="9" t="s">
        <v>541</v>
      </c>
      <c r="H154" s="9" t="s">
        <v>4</v>
      </c>
      <c r="I154" s="9"/>
    </row>
    <row r="155" customFormat="false" ht="35.05" hidden="false" customHeight="false" outlineLevel="0" collapsed="false">
      <c r="A155" s="9" t="s">
        <v>12</v>
      </c>
      <c r="B155" s="9" t="s">
        <v>542</v>
      </c>
      <c r="C155" s="9" t="s">
        <v>543</v>
      </c>
      <c r="D155" s="9" t="s">
        <v>544</v>
      </c>
      <c r="E155" s="9" t="s">
        <v>545</v>
      </c>
      <c r="F155" s="9" t="s">
        <v>546</v>
      </c>
      <c r="G155" s="9" t="s">
        <v>547</v>
      </c>
      <c r="H155" s="9" t="s">
        <v>5</v>
      </c>
      <c r="I155" s="9" t="s">
        <v>511</v>
      </c>
    </row>
    <row r="156" customFormat="false" ht="35.05" hidden="false" customHeight="false" outlineLevel="0" collapsed="false">
      <c r="A156" s="9" t="s">
        <v>12</v>
      </c>
      <c r="B156" s="9" t="s">
        <v>542</v>
      </c>
      <c r="C156" s="9" t="s">
        <v>543</v>
      </c>
      <c r="D156" s="9" t="s">
        <v>548</v>
      </c>
      <c r="E156" s="9" t="s">
        <v>549</v>
      </c>
      <c r="F156" s="9" t="s">
        <v>550</v>
      </c>
      <c r="G156" s="9" t="s">
        <v>551</v>
      </c>
      <c r="H156" s="9" t="s">
        <v>5</v>
      </c>
      <c r="I156" s="9" t="s">
        <v>552</v>
      </c>
    </row>
    <row r="157" customFormat="false" ht="35.05" hidden="false" customHeight="false" outlineLevel="0" collapsed="false">
      <c r="A157" s="9" t="s">
        <v>12</v>
      </c>
      <c r="B157" s="9" t="s">
        <v>542</v>
      </c>
      <c r="C157" s="9" t="s">
        <v>543</v>
      </c>
      <c r="D157" s="9" t="s">
        <v>553</v>
      </c>
      <c r="E157" s="9" t="s">
        <v>554</v>
      </c>
      <c r="F157" s="9" t="s">
        <v>555</v>
      </c>
      <c r="G157" s="9" t="s">
        <v>547</v>
      </c>
      <c r="H157" s="9" t="s">
        <v>5</v>
      </c>
      <c r="I157" s="9" t="s">
        <v>511</v>
      </c>
    </row>
    <row r="158" customFormat="false" ht="35.05" hidden="false" customHeight="false" outlineLevel="0" collapsed="false">
      <c r="A158" s="9" t="s">
        <v>12</v>
      </c>
      <c r="B158" s="9" t="s">
        <v>542</v>
      </c>
      <c r="C158" s="9" t="s">
        <v>543</v>
      </c>
      <c r="D158" s="9" t="s">
        <v>556</v>
      </c>
      <c r="E158" s="9" t="s">
        <v>557</v>
      </c>
      <c r="F158" s="9" t="s">
        <v>558</v>
      </c>
      <c r="G158" s="9" t="s">
        <v>547</v>
      </c>
      <c r="H158" s="9" t="s">
        <v>5</v>
      </c>
      <c r="I158" s="9" t="s">
        <v>511</v>
      </c>
    </row>
    <row r="159" customFormat="false" ht="35.05" hidden="false" customHeight="false" outlineLevel="0" collapsed="false">
      <c r="A159" s="9" t="s">
        <v>12</v>
      </c>
      <c r="B159" s="9" t="s">
        <v>542</v>
      </c>
      <c r="C159" s="9" t="s">
        <v>543</v>
      </c>
      <c r="D159" s="9" t="s">
        <v>559</v>
      </c>
      <c r="E159" s="9" t="s">
        <v>560</v>
      </c>
      <c r="F159" s="9" t="s">
        <v>561</v>
      </c>
      <c r="G159" s="9" t="s">
        <v>547</v>
      </c>
      <c r="H159" s="9" t="s">
        <v>5</v>
      </c>
      <c r="I159" s="9" t="s">
        <v>511</v>
      </c>
    </row>
    <row r="160" customFormat="false" ht="35.05" hidden="false" customHeight="false" outlineLevel="0" collapsed="false">
      <c r="A160" s="9" t="s">
        <v>12</v>
      </c>
      <c r="B160" s="9" t="s">
        <v>542</v>
      </c>
      <c r="C160" s="9" t="s">
        <v>543</v>
      </c>
      <c r="D160" s="9" t="s">
        <v>562</v>
      </c>
      <c r="E160" s="9" t="s">
        <v>563</v>
      </c>
      <c r="F160" s="9" t="s">
        <v>564</v>
      </c>
      <c r="G160" s="9" t="s">
        <v>547</v>
      </c>
      <c r="H160" s="9" t="s">
        <v>5</v>
      </c>
      <c r="I160" s="9" t="s">
        <v>511</v>
      </c>
    </row>
    <row r="161" customFormat="false" ht="35.05" hidden="false" customHeight="false" outlineLevel="0" collapsed="false">
      <c r="A161" s="9" t="s">
        <v>12</v>
      </c>
      <c r="B161" s="9" t="s">
        <v>542</v>
      </c>
      <c r="C161" s="9" t="s">
        <v>543</v>
      </c>
      <c r="D161" s="9" t="s">
        <v>565</v>
      </c>
      <c r="E161" s="9" t="s">
        <v>566</v>
      </c>
      <c r="F161" s="9" t="s">
        <v>567</v>
      </c>
      <c r="G161" s="9" t="s">
        <v>547</v>
      </c>
      <c r="H161" s="9" t="s">
        <v>5</v>
      </c>
      <c r="I161" s="9" t="s">
        <v>511</v>
      </c>
    </row>
    <row r="162" customFormat="false" ht="35.05" hidden="false" customHeight="false" outlineLevel="0" collapsed="false">
      <c r="A162" s="9" t="s">
        <v>12</v>
      </c>
      <c r="B162" s="9" t="s">
        <v>542</v>
      </c>
      <c r="C162" s="9" t="s">
        <v>543</v>
      </c>
      <c r="D162" s="9" t="s">
        <v>568</v>
      </c>
      <c r="E162" s="9" t="s">
        <v>569</v>
      </c>
      <c r="F162" s="9" t="s">
        <v>570</v>
      </c>
      <c r="G162" s="9" t="s">
        <v>547</v>
      </c>
      <c r="H162" s="9" t="s">
        <v>5</v>
      </c>
      <c r="I162" s="9" t="s">
        <v>511</v>
      </c>
    </row>
    <row r="163" customFormat="false" ht="35.05" hidden="false" customHeight="false" outlineLevel="0" collapsed="false">
      <c r="A163" s="9" t="s">
        <v>12</v>
      </c>
      <c r="B163" s="9" t="s">
        <v>542</v>
      </c>
      <c r="C163" s="9" t="s">
        <v>543</v>
      </c>
      <c r="D163" s="9" t="s">
        <v>571</v>
      </c>
      <c r="E163" s="9" t="s">
        <v>572</v>
      </c>
      <c r="F163" s="9" t="s">
        <v>573</v>
      </c>
      <c r="G163" s="9" t="s">
        <v>547</v>
      </c>
      <c r="H163" s="9" t="s">
        <v>5</v>
      </c>
      <c r="I163" s="9" t="s">
        <v>511</v>
      </c>
    </row>
    <row r="164" customFormat="false" ht="46.25" hidden="false" customHeight="false" outlineLevel="0" collapsed="false">
      <c r="A164" s="9" t="s">
        <v>12</v>
      </c>
      <c r="B164" s="9" t="s">
        <v>542</v>
      </c>
      <c r="C164" s="9" t="s">
        <v>543</v>
      </c>
      <c r="D164" s="9" t="s">
        <v>574</v>
      </c>
      <c r="E164" s="9" t="s">
        <v>575</v>
      </c>
      <c r="F164" s="9" t="s">
        <v>576</v>
      </c>
      <c r="G164" s="9" t="s">
        <v>577</v>
      </c>
      <c r="H164" s="9" t="s">
        <v>5</v>
      </c>
      <c r="I164" s="9" t="s">
        <v>511</v>
      </c>
    </row>
    <row r="165" customFormat="false" ht="35.05" hidden="false" customHeight="false" outlineLevel="0" collapsed="false">
      <c r="A165" s="9" t="s">
        <v>12</v>
      </c>
      <c r="B165" s="9" t="s">
        <v>542</v>
      </c>
      <c r="C165" s="9" t="s">
        <v>543</v>
      </c>
      <c r="D165" s="9" t="s">
        <v>578</v>
      </c>
      <c r="E165" s="9" t="s">
        <v>579</v>
      </c>
      <c r="F165" s="9" t="s">
        <v>580</v>
      </c>
      <c r="G165" s="9" t="s">
        <v>581</v>
      </c>
      <c r="H165" s="9" t="s">
        <v>5</v>
      </c>
      <c r="I165" s="9" t="s">
        <v>511</v>
      </c>
    </row>
    <row r="166" customFormat="false" ht="23.85" hidden="false" customHeight="false" outlineLevel="0" collapsed="false">
      <c r="A166" s="9" t="s">
        <v>12</v>
      </c>
      <c r="B166" s="9" t="s">
        <v>582</v>
      </c>
      <c r="C166" s="9" t="s">
        <v>583</v>
      </c>
      <c r="D166" s="9" t="s">
        <v>584</v>
      </c>
      <c r="E166" s="9" t="s">
        <v>585</v>
      </c>
      <c r="F166" s="9" t="s">
        <v>586</v>
      </c>
      <c r="G166" s="9" t="s">
        <v>587</v>
      </c>
      <c r="H166" s="9" t="s">
        <v>6</v>
      </c>
      <c r="I166" s="9" t="s">
        <v>588</v>
      </c>
    </row>
    <row r="167" customFormat="false" ht="23.85" hidden="false" customHeight="false" outlineLevel="0" collapsed="false">
      <c r="A167" s="9" t="s">
        <v>12</v>
      </c>
      <c r="B167" s="9" t="s">
        <v>582</v>
      </c>
      <c r="C167" s="9" t="s">
        <v>583</v>
      </c>
      <c r="D167" s="9" t="s">
        <v>589</v>
      </c>
      <c r="E167" s="9" t="s">
        <v>590</v>
      </c>
      <c r="F167" s="9" t="s">
        <v>591</v>
      </c>
      <c r="G167" s="9" t="s">
        <v>592</v>
      </c>
      <c r="H167" s="9" t="s">
        <v>6</v>
      </c>
      <c r="I167" s="9" t="s">
        <v>588</v>
      </c>
    </row>
    <row r="168" customFormat="false" ht="23.85" hidden="false" customHeight="false" outlineLevel="0" collapsed="false">
      <c r="A168" s="9" t="s">
        <v>12</v>
      </c>
      <c r="B168" s="9" t="s">
        <v>582</v>
      </c>
      <c r="C168" s="9" t="s">
        <v>583</v>
      </c>
      <c r="D168" s="9" t="s">
        <v>593</v>
      </c>
      <c r="E168" s="9" t="s">
        <v>594</v>
      </c>
      <c r="F168" s="9" t="s">
        <v>595</v>
      </c>
      <c r="G168" s="9" t="s">
        <v>596</v>
      </c>
      <c r="H168" s="9" t="s">
        <v>6</v>
      </c>
      <c r="I168" s="9" t="s">
        <v>588</v>
      </c>
    </row>
    <row r="169" customFormat="false" ht="35.05" hidden="false" customHeight="false" outlineLevel="0" collapsed="false">
      <c r="A169" s="9" t="s">
        <v>12</v>
      </c>
      <c r="B169" s="9" t="s">
        <v>582</v>
      </c>
      <c r="C169" s="9" t="s">
        <v>583</v>
      </c>
      <c r="D169" s="9" t="s">
        <v>597</v>
      </c>
      <c r="E169" s="9" t="s">
        <v>598</v>
      </c>
      <c r="F169" s="9" t="s">
        <v>599</v>
      </c>
      <c r="G169" s="9" t="s">
        <v>600</v>
      </c>
      <c r="H169" s="9" t="s">
        <v>5</v>
      </c>
      <c r="I169" s="9" t="s">
        <v>601</v>
      </c>
    </row>
    <row r="170" customFormat="false" ht="35.05" hidden="false" customHeight="false" outlineLevel="0" collapsed="false">
      <c r="A170" s="9" t="s">
        <v>12</v>
      </c>
      <c r="B170" s="9" t="s">
        <v>582</v>
      </c>
      <c r="C170" s="9" t="s">
        <v>583</v>
      </c>
      <c r="D170" s="9" t="s">
        <v>602</v>
      </c>
      <c r="E170" s="9" t="s">
        <v>603</v>
      </c>
      <c r="F170" s="9" t="s">
        <v>604</v>
      </c>
      <c r="G170" s="9" t="s">
        <v>605</v>
      </c>
      <c r="H170" s="9" t="s">
        <v>6</v>
      </c>
      <c r="I170" s="9" t="s">
        <v>606</v>
      </c>
    </row>
    <row r="171" customFormat="false" ht="23.85" hidden="false" customHeight="false" outlineLevel="0" collapsed="false">
      <c r="A171" s="9" t="s">
        <v>12</v>
      </c>
      <c r="B171" s="9" t="s">
        <v>582</v>
      </c>
      <c r="C171" s="9" t="s">
        <v>583</v>
      </c>
      <c r="D171" s="9" t="s">
        <v>607</v>
      </c>
      <c r="E171" s="9" t="s">
        <v>608</v>
      </c>
      <c r="F171" s="9" t="s">
        <v>609</v>
      </c>
      <c r="G171" s="9" t="s">
        <v>610</v>
      </c>
      <c r="H171" s="9" t="s">
        <v>4</v>
      </c>
      <c r="I171" s="9"/>
    </row>
    <row r="172" customFormat="false" ht="35.05" hidden="false" customHeight="false" outlineLevel="0" collapsed="false">
      <c r="A172" s="9" t="s">
        <v>12</v>
      </c>
      <c r="B172" s="9" t="s">
        <v>582</v>
      </c>
      <c r="C172" s="9" t="s">
        <v>583</v>
      </c>
      <c r="D172" s="9" t="s">
        <v>611</v>
      </c>
      <c r="E172" s="9" t="s">
        <v>612</v>
      </c>
      <c r="F172" s="9" t="s">
        <v>613</v>
      </c>
      <c r="G172" s="9" t="s">
        <v>614</v>
      </c>
      <c r="H172" s="9" t="s">
        <v>5</v>
      </c>
      <c r="I172" s="9"/>
    </row>
    <row r="173" customFormat="false" ht="23.85" hidden="false" customHeight="false" outlineLevel="0" collapsed="false">
      <c r="A173" s="9" t="s">
        <v>12</v>
      </c>
      <c r="B173" s="9" t="s">
        <v>582</v>
      </c>
      <c r="C173" s="9" t="s">
        <v>583</v>
      </c>
      <c r="D173" s="9" t="s">
        <v>615</v>
      </c>
      <c r="E173" s="9" t="s">
        <v>616</v>
      </c>
      <c r="F173" s="9" t="s">
        <v>617</v>
      </c>
      <c r="G173" s="9" t="s">
        <v>618</v>
      </c>
      <c r="H173" s="9" t="s">
        <v>4</v>
      </c>
      <c r="I173" s="9"/>
    </row>
    <row r="174" customFormat="false" ht="23.85" hidden="false" customHeight="false" outlineLevel="0" collapsed="false">
      <c r="A174" s="9" t="s">
        <v>12</v>
      </c>
      <c r="B174" s="9" t="s">
        <v>582</v>
      </c>
      <c r="C174" s="9" t="s">
        <v>583</v>
      </c>
      <c r="D174" s="9" t="s">
        <v>619</v>
      </c>
      <c r="E174" s="9" t="s">
        <v>620</v>
      </c>
      <c r="F174" s="9" t="s">
        <v>621</v>
      </c>
      <c r="G174" s="9" t="s">
        <v>622</v>
      </c>
      <c r="H174" s="9" t="s">
        <v>4</v>
      </c>
      <c r="I174" s="9" t="s">
        <v>623</v>
      </c>
    </row>
    <row r="175" customFormat="false" ht="35.05" hidden="false" customHeight="false" outlineLevel="0" collapsed="false">
      <c r="A175" s="9" t="s">
        <v>12</v>
      </c>
      <c r="B175" s="9" t="s">
        <v>582</v>
      </c>
      <c r="C175" s="9" t="s">
        <v>583</v>
      </c>
      <c r="D175" s="9" t="s">
        <v>624</v>
      </c>
      <c r="E175" s="9" t="s">
        <v>625</v>
      </c>
      <c r="F175" s="9" t="s">
        <v>626</v>
      </c>
      <c r="G175" s="9" t="s">
        <v>627</v>
      </c>
      <c r="H175" s="9" t="s">
        <v>6</v>
      </c>
      <c r="I175" s="9" t="s">
        <v>606</v>
      </c>
    </row>
    <row r="176" customFormat="false" ht="23.85" hidden="false" customHeight="false" outlineLevel="0" collapsed="false">
      <c r="A176" s="9" t="s">
        <v>12</v>
      </c>
      <c r="B176" s="9" t="s">
        <v>582</v>
      </c>
      <c r="C176" s="9" t="s">
        <v>583</v>
      </c>
      <c r="D176" s="9" t="s">
        <v>628</v>
      </c>
      <c r="E176" s="9" t="s">
        <v>629</v>
      </c>
      <c r="F176" s="9" t="s">
        <v>630</v>
      </c>
      <c r="G176" s="9" t="s">
        <v>631</v>
      </c>
      <c r="H176" s="9" t="s">
        <v>5</v>
      </c>
      <c r="I176" s="9" t="s">
        <v>511</v>
      </c>
    </row>
    <row r="177" customFormat="false" ht="35.05" hidden="false" customHeight="false" outlineLevel="0" collapsed="false">
      <c r="A177" s="9" t="s">
        <v>12</v>
      </c>
      <c r="B177" s="9" t="s">
        <v>582</v>
      </c>
      <c r="C177" s="9" t="s">
        <v>583</v>
      </c>
      <c r="D177" s="9" t="s">
        <v>632</v>
      </c>
      <c r="E177" s="9" t="s">
        <v>633</v>
      </c>
      <c r="F177" s="9" t="s">
        <v>634</v>
      </c>
      <c r="G177" s="9" t="s">
        <v>635</v>
      </c>
      <c r="H177" s="9" t="s">
        <v>5</v>
      </c>
      <c r="I177" s="9"/>
    </row>
    <row r="178" customFormat="false" ht="23.85" hidden="false" customHeight="false" outlineLevel="0" collapsed="false">
      <c r="A178" s="9" t="s">
        <v>12</v>
      </c>
      <c r="B178" s="9" t="s">
        <v>582</v>
      </c>
      <c r="C178" s="9" t="s">
        <v>583</v>
      </c>
      <c r="D178" s="9" t="s">
        <v>636</v>
      </c>
      <c r="E178" s="9" t="s">
        <v>637</v>
      </c>
      <c r="F178" s="9" t="s">
        <v>638</v>
      </c>
      <c r="G178" s="9" t="s">
        <v>639</v>
      </c>
      <c r="H178" s="9" t="s">
        <v>6</v>
      </c>
      <c r="I178" s="9" t="s">
        <v>640</v>
      </c>
    </row>
    <row r="179" customFormat="false" ht="35.05" hidden="false" customHeight="false" outlineLevel="0" collapsed="false">
      <c r="A179" s="9" t="s">
        <v>12</v>
      </c>
      <c r="B179" s="9" t="s">
        <v>641</v>
      </c>
      <c r="C179" s="9" t="s">
        <v>642</v>
      </c>
      <c r="D179" s="9" t="s">
        <v>643</v>
      </c>
      <c r="E179" s="9" t="s">
        <v>644</v>
      </c>
      <c r="F179" s="9" t="s">
        <v>645</v>
      </c>
      <c r="G179" s="9" t="s">
        <v>646</v>
      </c>
      <c r="H179" s="9" t="s">
        <v>5</v>
      </c>
      <c r="I179" s="9"/>
    </row>
    <row r="180" customFormat="false" ht="23.85" hidden="false" customHeight="false" outlineLevel="0" collapsed="false">
      <c r="A180" s="9" t="s">
        <v>12</v>
      </c>
      <c r="B180" s="9" t="s">
        <v>641</v>
      </c>
      <c r="C180" s="9" t="s">
        <v>642</v>
      </c>
      <c r="D180" s="9" t="s">
        <v>647</v>
      </c>
      <c r="E180" s="9" t="s">
        <v>648</v>
      </c>
      <c r="F180" s="9" t="s">
        <v>649</v>
      </c>
      <c r="G180" s="9" t="s">
        <v>650</v>
      </c>
      <c r="H180" s="9" t="s">
        <v>5</v>
      </c>
      <c r="I180" s="9" t="s">
        <v>511</v>
      </c>
    </row>
    <row r="181" customFormat="false" ht="15" hidden="false" customHeight="false" outlineLevel="0" collapsed="false">
      <c r="A181" s="9" t="s">
        <v>12</v>
      </c>
      <c r="B181" s="9" t="s">
        <v>641</v>
      </c>
      <c r="C181" s="9" t="s">
        <v>642</v>
      </c>
      <c r="D181" s="9" t="s">
        <v>651</v>
      </c>
      <c r="E181" s="9" t="s">
        <v>652</v>
      </c>
      <c r="F181" s="9" t="s">
        <v>653</v>
      </c>
      <c r="G181" s="9" t="s">
        <v>654</v>
      </c>
      <c r="H181" s="9" t="s">
        <v>5</v>
      </c>
      <c r="I181" s="9" t="s">
        <v>511</v>
      </c>
    </row>
    <row r="182" customFormat="false" ht="23.85" hidden="false" customHeight="false" outlineLevel="0" collapsed="false">
      <c r="A182" s="9" t="s">
        <v>12</v>
      </c>
      <c r="B182" s="9" t="s">
        <v>641</v>
      </c>
      <c r="C182" s="9" t="s">
        <v>642</v>
      </c>
      <c r="D182" s="9" t="s">
        <v>655</v>
      </c>
      <c r="E182" s="9" t="s">
        <v>656</v>
      </c>
      <c r="F182" s="9" t="s">
        <v>657</v>
      </c>
      <c r="G182" s="9" t="s">
        <v>658</v>
      </c>
      <c r="H182" s="9" t="s">
        <v>5</v>
      </c>
      <c r="I182" s="9"/>
    </row>
    <row r="183" customFormat="false" ht="23.85" hidden="false" customHeight="false" outlineLevel="0" collapsed="false">
      <c r="A183" s="9" t="s">
        <v>12</v>
      </c>
      <c r="B183" s="9" t="s">
        <v>641</v>
      </c>
      <c r="C183" s="9" t="s">
        <v>642</v>
      </c>
      <c r="D183" s="9" t="s">
        <v>659</v>
      </c>
      <c r="E183" s="9" t="s">
        <v>660</v>
      </c>
      <c r="F183" s="9" t="s">
        <v>661</v>
      </c>
      <c r="G183" s="9" t="s">
        <v>662</v>
      </c>
      <c r="H183" s="9" t="s">
        <v>5</v>
      </c>
      <c r="I183" s="9" t="s">
        <v>511</v>
      </c>
    </row>
    <row r="184" customFormat="false" ht="23.85" hidden="false" customHeight="false" outlineLevel="0" collapsed="false">
      <c r="A184" s="9" t="s">
        <v>12</v>
      </c>
      <c r="B184" s="9" t="s">
        <v>641</v>
      </c>
      <c r="C184" s="9" t="s">
        <v>642</v>
      </c>
      <c r="D184" s="9" t="s">
        <v>663</v>
      </c>
      <c r="E184" s="9" t="s">
        <v>664</v>
      </c>
      <c r="F184" s="9" t="s">
        <v>665</v>
      </c>
      <c r="G184" s="9" t="s">
        <v>666</v>
      </c>
      <c r="H184" s="9" t="s">
        <v>5</v>
      </c>
      <c r="I184" s="9" t="s">
        <v>511</v>
      </c>
    </row>
    <row r="185" customFormat="false" ht="23.85" hidden="false" customHeight="false" outlineLevel="0" collapsed="false">
      <c r="A185" s="9" t="s">
        <v>12</v>
      </c>
      <c r="B185" s="9" t="s">
        <v>641</v>
      </c>
      <c r="C185" s="9" t="s">
        <v>642</v>
      </c>
      <c r="D185" s="9" t="s">
        <v>667</v>
      </c>
      <c r="E185" s="9" t="s">
        <v>668</v>
      </c>
      <c r="F185" s="9" t="s">
        <v>669</v>
      </c>
      <c r="G185" s="9" t="s">
        <v>670</v>
      </c>
      <c r="H185" s="9" t="s">
        <v>5</v>
      </c>
      <c r="I185" s="9" t="s">
        <v>671</v>
      </c>
    </row>
    <row r="186" customFormat="false" ht="23.85" hidden="false" customHeight="false" outlineLevel="0" collapsed="false">
      <c r="A186" s="9" t="s">
        <v>12</v>
      </c>
      <c r="B186" s="9" t="s">
        <v>641</v>
      </c>
      <c r="C186" s="9" t="s">
        <v>642</v>
      </c>
      <c r="D186" s="9" t="s">
        <v>672</v>
      </c>
      <c r="E186" s="9" t="s">
        <v>673</v>
      </c>
      <c r="F186" s="9" t="s">
        <v>674</v>
      </c>
      <c r="G186" s="9" t="s">
        <v>675</v>
      </c>
      <c r="H186" s="9" t="s">
        <v>6</v>
      </c>
      <c r="I186" s="9" t="s">
        <v>588</v>
      </c>
    </row>
    <row r="187" customFormat="false" ht="35.05" hidden="false" customHeight="false" outlineLevel="0" collapsed="false">
      <c r="A187" s="9" t="s">
        <v>12</v>
      </c>
      <c r="B187" s="9" t="s">
        <v>641</v>
      </c>
      <c r="C187" s="9" t="s">
        <v>642</v>
      </c>
      <c r="D187" s="9" t="s">
        <v>676</v>
      </c>
      <c r="E187" s="9" t="s">
        <v>677</v>
      </c>
      <c r="F187" s="9" t="s">
        <v>678</v>
      </c>
      <c r="G187" s="9" t="s">
        <v>679</v>
      </c>
      <c r="H187" s="9" t="s">
        <v>6</v>
      </c>
      <c r="I187" s="9" t="s">
        <v>176</v>
      </c>
    </row>
    <row r="188" customFormat="false" ht="35.05" hidden="false" customHeight="false" outlineLevel="0" collapsed="false">
      <c r="A188" s="9" t="s">
        <v>12</v>
      </c>
      <c r="B188" s="9" t="s">
        <v>641</v>
      </c>
      <c r="C188" s="9" t="s">
        <v>642</v>
      </c>
      <c r="D188" s="9" t="s">
        <v>680</v>
      </c>
      <c r="E188" s="9" t="s">
        <v>681</v>
      </c>
      <c r="F188" s="9" t="s">
        <v>682</v>
      </c>
      <c r="G188" s="9" t="s">
        <v>683</v>
      </c>
      <c r="H188" s="9" t="s">
        <v>5</v>
      </c>
      <c r="I188" s="9" t="s">
        <v>511</v>
      </c>
    </row>
    <row r="189" customFormat="false" ht="23.85" hidden="false" customHeight="false" outlineLevel="0" collapsed="false">
      <c r="A189" s="9" t="s">
        <v>12</v>
      </c>
      <c r="B189" s="9" t="s">
        <v>684</v>
      </c>
      <c r="C189" s="9" t="s">
        <v>685</v>
      </c>
      <c r="D189" s="9" t="s">
        <v>686</v>
      </c>
      <c r="E189" s="9" t="s">
        <v>687</v>
      </c>
      <c r="F189" s="9" t="s">
        <v>688</v>
      </c>
      <c r="G189" s="9" t="s">
        <v>689</v>
      </c>
      <c r="H189" s="9" t="s">
        <v>4</v>
      </c>
      <c r="I189" s="9" t="s">
        <v>690</v>
      </c>
    </row>
    <row r="190" customFormat="false" ht="23.85" hidden="false" customHeight="false" outlineLevel="0" collapsed="false">
      <c r="A190" s="9" t="s">
        <v>12</v>
      </c>
      <c r="B190" s="9" t="s">
        <v>684</v>
      </c>
      <c r="C190" s="9" t="s">
        <v>685</v>
      </c>
      <c r="D190" s="9" t="s">
        <v>691</v>
      </c>
      <c r="E190" s="9" t="s">
        <v>692</v>
      </c>
      <c r="F190" s="9" t="s">
        <v>693</v>
      </c>
      <c r="G190" s="9" t="s">
        <v>694</v>
      </c>
      <c r="H190" s="9" t="s">
        <v>4</v>
      </c>
      <c r="I190" s="9"/>
    </row>
    <row r="191" customFormat="false" ht="35.05" hidden="false" customHeight="false" outlineLevel="0" collapsed="false">
      <c r="A191" s="9" t="s">
        <v>12</v>
      </c>
      <c r="B191" s="9" t="s">
        <v>684</v>
      </c>
      <c r="C191" s="9" t="s">
        <v>685</v>
      </c>
      <c r="D191" s="9" t="s">
        <v>695</v>
      </c>
      <c r="E191" s="9" t="s">
        <v>696</v>
      </c>
      <c r="F191" s="9" t="s">
        <v>697</v>
      </c>
      <c r="G191" s="9" t="s">
        <v>698</v>
      </c>
      <c r="H191" s="9" t="s">
        <v>6</v>
      </c>
      <c r="I191" s="9" t="s">
        <v>588</v>
      </c>
    </row>
    <row r="192" customFormat="false" ht="23.85" hidden="false" customHeight="false" outlineLevel="0" collapsed="false">
      <c r="A192" s="9" t="s">
        <v>12</v>
      </c>
      <c r="B192" s="9" t="s">
        <v>684</v>
      </c>
      <c r="C192" s="9" t="s">
        <v>685</v>
      </c>
      <c r="D192" s="9" t="s">
        <v>699</v>
      </c>
      <c r="E192" s="9" t="s">
        <v>700</v>
      </c>
      <c r="F192" s="9" t="s">
        <v>701</v>
      </c>
      <c r="G192" s="9" t="s">
        <v>702</v>
      </c>
      <c r="H192" s="9" t="s">
        <v>5</v>
      </c>
      <c r="I192" s="9" t="s">
        <v>511</v>
      </c>
    </row>
    <row r="193" customFormat="false" ht="23.85" hidden="false" customHeight="false" outlineLevel="0" collapsed="false">
      <c r="A193" s="9" t="s">
        <v>12</v>
      </c>
      <c r="B193" s="9" t="s">
        <v>684</v>
      </c>
      <c r="C193" s="9" t="s">
        <v>685</v>
      </c>
      <c r="D193" s="9" t="s">
        <v>703</v>
      </c>
      <c r="E193" s="9" t="s">
        <v>704</v>
      </c>
      <c r="F193" s="9" t="s">
        <v>705</v>
      </c>
      <c r="G193" s="9" t="s">
        <v>706</v>
      </c>
      <c r="H193" s="9" t="s">
        <v>4</v>
      </c>
      <c r="I193" s="9"/>
    </row>
    <row r="194" customFormat="false" ht="23.85" hidden="false" customHeight="false" outlineLevel="0" collapsed="false">
      <c r="A194" s="9" t="s">
        <v>12</v>
      </c>
      <c r="B194" s="9" t="s">
        <v>707</v>
      </c>
      <c r="C194" s="9" t="s">
        <v>708</v>
      </c>
      <c r="D194" s="9" t="s">
        <v>709</v>
      </c>
      <c r="E194" s="9" t="s">
        <v>710</v>
      </c>
      <c r="F194" s="9" t="s">
        <v>711</v>
      </c>
      <c r="G194" s="9" t="s">
        <v>712</v>
      </c>
      <c r="H194" s="9" t="s">
        <v>4</v>
      </c>
      <c r="I194" s="9" t="s">
        <v>713</v>
      </c>
    </row>
    <row r="195" customFormat="false" ht="23.85" hidden="false" customHeight="false" outlineLevel="0" collapsed="false">
      <c r="A195" s="9" t="s">
        <v>12</v>
      </c>
      <c r="B195" s="9" t="s">
        <v>707</v>
      </c>
      <c r="C195" s="9" t="s">
        <v>708</v>
      </c>
      <c r="D195" s="9" t="s">
        <v>714</v>
      </c>
      <c r="E195" s="9" t="s">
        <v>715</v>
      </c>
      <c r="F195" s="9" t="s">
        <v>716</v>
      </c>
      <c r="G195" s="9" t="s">
        <v>717</v>
      </c>
      <c r="H195" s="9" t="s">
        <v>5</v>
      </c>
      <c r="I195" s="9" t="s">
        <v>718</v>
      </c>
    </row>
    <row r="196" customFormat="false" ht="23.85" hidden="false" customHeight="false" outlineLevel="0" collapsed="false">
      <c r="A196" s="9" t="s">
        <v>12</v>
      </c>
      <c r="B196" s="9" t="s">
        <v>707</v>
      </c>
      <c r="C196" s="9" t="s">
        <v>708</v>
      </c>
      <c r="D196" s="9" t="s">
        <v>719</v>
      </c>
      <c r="E196" s="9" t="s">
        <v>720</v>
      </c>
      <c r="F196" s="9" t="s">
        <v>721</v>
      </c>
      <c r="G196" s="9" t="s">
        <v>722</v>
      </c>
      <c r="H196" s="9" t="s">
        <v>4</v>
      </c>
      <c r="I196" s="9"/>
    </row>
    <row r="197" customFormat="false" ht="23.85" hidden="false" customHeight="false" outlineLevel="0" collapsed="false">
      <c r="A197" s="9" t="s">
        <v>12</v>
      </c>
      <c r="B197" s="9" t="s">
        <v>707</v>
      </c>
      <c r="C197" s="9" t="s">
        <v>708</v>
      </c>
      <c r="D197" s="9" t="s">
        <v>723</v>
      </c>
      <c r="E197" s="9" t="s">
        <v>724</v>
      </c>
      <c r="F197" s="9" t="s">
        <v>725</v>
      </c>
      <c r="G197" s="9" t="s">
        <v>726</v>
      </c>
      <c r="H197" s="9" t="s">
        <v>4</v>
      </c>
      <c r="I197" s="9"/>
    </row>
    <row r="198" customFormat="false" ht="23.85" hidden="false" customHeight="false" outlineLevel="0" collapsed="false">
      <c r="A198" s="9" t="s">
        <v>12</v>
      </c>
      <c r="B198" s="9" t="s">
        <v>707</v>
      </c>
      <c r="C198" s="9" t="s">
        <v>708</v>
      </c>
      <c r="D198" s="9" t="s">
        <v>727</v>
      </c>
      <c r="E198" s="9" t="s">
        <v>728</v>
      </c>
      <c r="F198" s="9" t="s">
        <v>729</v>
      </c>
      <c r="G198" s="9" t="s">
        <v>730</v>
      </c>
      <c r="H198" s="9" t="s">
        <v>5</v>
      </c>
      <c r="I198" s="9"/>
    </row>
    <row r="199" customFormat="false" ht="23.85" hidden="false" customHeight="false" outlineLevel="0" collapsed="false">
      <c r="A199" s="9" t="s">
        <v>12</v>
      </c>
      <c r="B199" s="9" t="s">
        <v>707</v>
      </c>
      <c r="C199" s="9" t="s">
        <v>708</v>
      </c>
      <c r="D199" s="9" t="s">
        <v>731</v>
      </c>
      <c r="E199" s="9" t="s">
        <v>732</v>
      </c>
      <c r="F199" s="9" t="s">
        <v>733</v>
      </c>
      <c r="G199" s="9" t="s">
        <v>734</v>
      </c>
      <c r="H199" s="9" t="s">
        <v>6</v>
      </c>
      <c r="I199" s="9" t="s">
        <v>606</v>
      </c>
    </row>
    <row r="200" customFormat="false" ht="23.85" hidden="false" customHeight="false" outlineLevel="0" collapsed="false">
      <c r="A200" s="9" t="s">
        <v>12</v>
      </c>
      <c r="B200" s="9" t="s">
        <v>707</v>
      </c>
      <c r="C200" s="9" t="s">
        <v>708</v>
      </c>
      <c r="D200" s="9" t="s">
        <v>735</v>
      </c>
      <c r="E200" s="9" t="s">
        <v>736</v>
      </c>
      <c r="F200" s="9" t="s">
        <v>737</v>
      </c>
      <c r="G200" s="9" t="s">
        <v>738</v>
      </c>
      <c r="H200" s="9" t="s">
        <v>5</v>
      </c>
      <c r="I200" s="9"/>
    </row>
    <row r="201" customFormat="false" ht="23.85" hidden="false" customHeight="false" outlineLevel="0" collapsed="false">
      <c r="A201" s="9" t="s">
        <v>12</v>
      </c>
      <c r="B201" s="9" t="s">
        <v>707</v>
      </c>
      <c r="C201" s="9" t="s">
        <v>708</v>
      </c>
      <c r="D201" s="9" t="s">
        <v>739</v>
      </c>
      <c r="E201" s="9" t="s">
        <v>740</v>
      </c>
      <c r="F201" s="9" t="s">
        <v>741</v>
      </c>
      <c r="G201" s="9" t="s">
        <v>742</v>
      </c>
      <c r="H201" s="9" t="s">
        <v>5</v>
      </c>
      <c r="I201" s="9"/>
    </row>
    <row r="202" customFormat="false" ht="23.85" hidden="false" customHeight="false" outlineLevel="0" collapsed="false">
      <c r="A202" s="9" t="s">
        <v>12</v>
      </c>
      <c r="B202" s="9" t="s">
        <v>707</v>
      </c>
      <c r="C202" s="9" t="s">
        <v>708</v>
      </c>
      <c r="D202" s="9" t="s">
        <v>743</v>
      </c>
      <c r="E202" s="9" t="s">
        <v>744</v>
      </c>
      <c r="F202" s="9" t="s">
        <v>745</v>
      </c>
      <c r="G202" s="9" t="s">
        <v>746</v>
      </c>
      <c r="H202" s="9" t="s">
        <v>4</v>
      </c>
      <c r="I202" s="9"/>
    </row>
    <row r="203" customFormat="false" ht="15" hidden="false" customHeight="false" outlineLevel="0" collapsed="false">
      <c r="A203" s="9" t="s">
        <v>12</v>
      </c>
      <c r="B203" s="9" t="s">
        <v>707</v>
      </c>
      <c r="C203" s="9" t="s">
        <v>708</v>
      </c>
      <c r="D203" s="9" t="s">
        <v>747</v>
      </c>
      <c r="E203" s="9" t="s">
        <v>748</v>
      </c>
      <c r="F203" s="9" t="s">
        <v>749</v>
      </c>
      <c r="G203" s="9" t="s">
        <v>750</v>
      </c>
      <c r="H203" s="9" t="s">
        <v>6</v>
      </c>
      <c r="I203" s="9"/>
    </row>
    <row r="204" customFormat="false" ht="46.25" hidden="false" customHeight="false" outlineLevel="0" collapsed="false">
      <c r="A204" s="9" t="s">
        <v>12</v>
      </c>
      <c r="B204" s="9" t="s">
        <v>707</v>
      </c>
      <c r="C204" s="9" t="s">
        <v>708</v>
      </c>
      <c r="D204" s="9" t="s">
        <v>751</v>
      </c>
      <c r="E204" s="9" t="s">
        <v>752</v>
      </c>
      <c r="F204" s="9" t="s">
        <v>753</v>
      </c>
      <c r="G204" s="9" t="s">
        <v>754</v>
      </c>
      <c r="H204" s="9" t="s">
        <v>6</v>
      </c>
      <c r="I204" s="9"/>
    </row>
    <row r="205" customFormat="false" ht="35.05" hidden="false" customHeight="false" outlineLevel="0" collapsed="false">
      <c r="A205" s="9" t="s">
        <v>12</v>
      </c>
      <c r="B205" s="9" t="s">
        <v>707</v>
      </c>
      <c r="C205" s="9" t="s">
        <v>708</v>
      </c>
      <c r="D205" s="9" t="s">
        <v>755</v>
      </c>
      <c r="E205" s="9" t="s">
        <v>756</v>
      </c>
      <c r="F205" s="9" t="s">
        <v>757</v>
      </c>
      <c r="G205" s="9" t="s">
        <v>758</v>
      </c>
      <c r="H205" s="9" t="s">
        <v>4</v>
      </c>
      <c r="I205" s="9" t="s">
        <v>759</v>
      </c>
    </row>
    <row r="206" customFormat="false" ht="23.85" hidden="false" customHeight="false" outlineLevel="0" collapsed="false">
      <c r="A206" s="9" t="s">
        <v>12</v>
      </c>
      <c r="B206" s="9" t="s">
        <v>760</v>
      </c>
      <c r="C206" s="9" t="s">
        <v>761</v>
      </c>
      <c r="D206" s="9" t="s">
        <v>762</v>
      </c>
      <c r="E206" s="9" t="s">
        <v>763</v>
      </c>
      <c r="F206" s="9" t="s">
        <v>764</v>
      </c>
      <c r="G206" s="9" t="s">
        <v>765</v>
      </c>
      <c r="H206" s="9" t="s">
        <v>5</v>
      </c>
      <c r="I206" s="9"/>
    </row>
    <row r="207" customFormat="false" ht="23.85" hidden="false" customHeight="false" outlineLevel="0" collapsed="false">
      <c r="A207" s="9" t="s">
        <v>12</v>
      </c>
      <c r="B207" s="9" t="s">
        <v>760</v>
      </c>
      <c r="C207" s="9" t="s">
        <v>761</v>
      </c>
      <c r="D207" s="9" t="s">
        <v>766</v>
      </c>
      <c r="E207" s="9" t="s">
        <v>767</v>
      </c>
      <c r="F207" s="9" t="s">
        <v>768</v>
      </c>
      <c r="G207" s="9" t="s">
        <v>769</v>
      </c>
      <c r="H207" s="9" t="s">
        <v>6</v>
      </c>
      <c r="I207" s="9" t="s">
        <v>588</v>
      </c>
    </row>
    <row r="208" customFormat="false" ht="46.25" hidden="false" customHeight="false" outlineLevel="0" collapsed="false">
      <c r="A208" s="9" t="s">
        <v>12</v>
      </c>
      <c r="B208" s="9" t="s">
        <v>760</v>
      </c>
      <c r="C208" s="9" t="s">
        <v>761</v>
      </c>
      <c r="D208" s="9" t="s">
        <v>770</v>
      </c>
      <c r="E208" s="9" t="s">
        <v>771</v>
      </c>
      <c r="F208" s="9" t="s">
        <v>772</v>
      </c>
      <c r="G208" s="9" t="s">
        <v>773</v>
      </c>
      <c r="H208" s="9" t="s">
        <v>5</v>
      </c>
      <c r="I208" s="9"/>
    </row>
    <row r="209" customFormat="false" ht="35.05" hidden="false" customHeight="false" outlineLevel="0" collapsed="false">
      <c r="A209" s="9" t="s">
        <v>12</v>
      </c>
      <c r="B209" s="9" t="s">
        <v>760</v>
      </c>
      <c r="C209" s="9" t="s">
        <v>761</v>
      </c>
      <c r="D209" s="9" t="s">
        <v>774</v>
      </c>
      <c r="E209" s="9" t="s">
        <v>775</v>
      </c>
      <c r="F209" s="9" t="s">
        <v>776</v>
      </c>
      <c r="G209" s="9" t="s">
        <v>777</v>
      </c>
      <c r="H209" s="9" t="s">
        <v>6</v>
      </c>
      <c r="I209" s="9" t="s">
        <v>588</v>
      </c>
    </row>
    <row r="210" customFormat="false" ht="35.05" hidden="false" customHeight="false" outlineLevel="0" collapsed="false">
      <c r="A210" s="9" t="s">
        <v>12</v>
      </c>
      <c r="B210" s="9" t="s">
        <v>760</v>
      </c>
      <c r="C210" s="9" t="s">
        <v>761</v>
      </c>
      <c r="D210" s="9" t="s">
        <v>778</v>
      </c>
      <c r="E210" s="9" t="s">
        <v>779</v>
      </c>
      <c r="F210" s="9" t="s">
        <v>780</v>
      </c>
      <c r="G210" s="9" t="s">
        <v>781</v>
      </c>
      <c r="H210" s="9" t="s">
        <v>5</v>
      </c>
      <c r="I210" s="9"/>
    </row>
    <row r="211" customFormat="false" ht="23.85" hidden="false" customHeight="false" outlineLevel="0" collapsed="false">
      <c r="A211" s="9" t="s">
        <v>12</v>
      </c>
      <c r="B211" s="9" t="s">
        <v>760</v>
      </c>
      <c r="C211" s="9" t="s">
        <v>761</v>
      </c>
      <c r="D211" s="9" t="s">
        <v>782</v>
      </c>
      <c r="E211" s="9" t="s">
        <v>783</v>
      </c>
      <c r="F211" s="9" t="s">
        <v>784</v>
      </c>
      <c r="G211" s="9" t="s">
        <v>785</v>
      </c>
      <c r="H211" s="9" t="s">
        <v>5</v>
      </c>
      <c r="I211" s="9" t="s">
        <v>511</v>
      </c>
    </row>
    <row r="212" customFormat="false" ht="23.85" hidden="false" customHeight="false" outlineLevel="0" collapsed="false">
      <c r="A212" s="9" t="s">
        <v>12</v>
      </c>
      <c r="B212" s="9" t="s">
        <v>760</v>
      </c>
      <c r="C212" s="9" t="s">
        <v>761</v>
      </c>
      <c r="D212" s="9" t="s">
        <v>786</v>
      </c>
      <c r="E212" s="9" t="s">
        <v>787</v>
      </c>
      <c r="F212" s="9" t="s">
        <v>788</v>
      </c>
      <c r="G212" s="9" t="s">
        <v>789</v>
      </c>
      <c r="H212" s="9" t="s">
        <v>4</v>
      </c>
      <c r="I212" s="9"/>
    </row>
    <row r="213" customFormat="false" ht="23.85" hidden="false" customHeight="false" outlineLevel="0" collapsed="false">
      <c r="A213" s="9" t="s">
        <v>12</v>
      </c>
      <c r="B213" s="9" t="s">
        <v>760</v>
      </c>
      <c r="C213" s="9" t="s">
        <v>761</v>
      </c>
      <c r="D213" s="9" t="s">
        <v>790</v>
      </c>
      <c r="E213" s="9" t="s">
        <v>791</v>
      </c>
      <c r="F213" s="9" t="s">
        <v>792</v>
      </c>
      <c r="G213" s="9" t="s">
        <v>793</v>
      </c>
      <c r="H213" s="9" t="s">
        <v>4</v>
      </c>
      <c r="I213" s="9" t="s">
        <v>794</v>
      </c>
    </row>
    <row r="214" customFormat="false" ht="23.85" hidden="false" customHeight="false" outlineLevel="0" collapsed="false">
      <c r="A214" s="9" t="s">
        <v>12</v>
      </c>
      <c r="B214" s="9" t="s">
        <v>760</v>
      </c>
      <c r="C214" s="9" t="s">
        <v>761</v>
      </c>
      <c r="D214" s="9" t="s">
        <v>795</v>
      </c>
      <c r="E214" s="9" t="s">
        <v>796</v>
      </c>
      <c r="F214" s="9" t="s">
        <v>797</v>
      </c>
      <c r="G214" s="9" t="s">
        <v>798</v>
      </c>
      <c r="H214" s="9" t="s">
        <v>4</v>
      </c>
      <c r="I214" s="9"/>
    </row>
    <row r="215" customFormat="false" ht="23.85" hidden="false" customHeight="false" outlineLevel="0" collapsed="false">
      <c r="A215" s="9" t="s">
        <v>12</v>
      </c>
      <c r="B215" s="9" t="s">
        <v>760</v>
      </c>
      <c r="C215" s="9" t="s">
        <v>761</v>
      </c>
      <c r="D215" s="9" t="s">
        <v>799</v>
      </c>
      <c r="E215" s="9" t="s">
        <v>800</v>
      </c>
      <c r="F215" s="9" t="s">
        <v>801</v>
      </c>
      <c r="G215" s="9" t="s">
        <v>802</v>
      </c>
      <c r="H215" s="9" t="s">
        <v>6</v>
      </c>
      <c r="I215" s="9" t="s">
        <v>588</v>
      </c>
    </row>
    <row r="216" customFormat="false" ht="23.85" hidden="false" customHeight="false" outlineLevel="0" collapsed="false">
      <c r="A216" s="9" t="s">
        <v>12</v>
      </c>
      <c r="B216" s="9" t="s">
        <v>760</v>
      </c>
      <c r="C216" s="9" t="s">
        <v>761</v>
      </c>
      <c r="D216" s="9" t="s">
        <v>803</v>
      </c>
      <c r="E216" s="9" t="s">
        <v>804</v>
      </c>
      <c r="F216" s="9" t="s">
        <v>805</v>
      </c>
      <c r="G216" s="9" t="s">
        <v>806</v>
      </c>
      <c r="H216" s="9" t="s">
        <v>5</v>
      </c>
      <c r="I216" s="9" t="s">
        <v>511</v>
      </c>
    </row>
    <row r="217" customFormat="false" ht="23.85" hidden="false" customHeight="false" outlineLevel="0" collapsed="false">
      <c r="A217" s="9" t="s">
        <v>12</v>
      </c>
      <c r="B217" s="9" t="s">
        <v>760</v>
      </c>
      <c r="C217" s="9" t="s">
        <v>761</v>
      </c>
      <c r="D217" s="9" t="s">
        <v>807</v>
      </c>
      <c r="E217" s="9" t="s">
        <v>808</v>
      </c>
      <c r="F217" s="9" t="s">
        <v>809</v>
      </c>
      <c r="G217" s="9" t="s">
        <v>810</v>
      </c>
      <c r="H217" s="9" t="s">
        <v>5</v>
      </c>
      <c r="I217" s="9" t="s">
        <v>511</v>
      </c>
    </row>
    <row r="218" customFormat="false" ht="57.45" hidden="false" customHeight="false" outlineLevel="0" collapsed="false">
      <c r="A218" s="9" t="s">
        <v>12</v>
      </c>
      <c r="B218" s="9" t="s">
        <v>811</v>
      </c>
      <c r="C218" s="9" t="s">
        <v>812</v>
      </c>
      <c r="D218" s="9" t="s">
        <v>813</v>
      </c>
      <c r="E218" s="9" t="s">
        <v>814</v>
      </c>
      <c r="F218" s="9" t="s">
        <v>815</v>
      </c>
      <c r="G218" s="9" t="s">
        <v>816</v>
      </c>
      <c r="H218" s="9" t="s">
        <v>5</v>
      </c>
      <c r="I218" s="9"/>
    </row>
    <row r="219" customFormat="false" ht="23.85" hidden="false" customHeight="false" outlineLevel="0" collapsed="false">
      <c r="A219" s="9" t="s">
        <v>12</v>
      </c>
      <c r="B219" s="9" t="s">
        <v>811</v>
      </c>
      <c r="C219" s="9" t="s">
        <v>812</v>
      </c>
      <c r="D219" s="9" t="s">
        <v>817</v>
      </c>
      <c r="E219" s="9" t="s">
        <v>818</v>
      </c>
      <c r="F219" s="9" t="s">
        <v>819</v>
      </c>
      <c r="G219" s="9" t="s">
        <v>820</v>
      </c>
      <c r="H219" s="9" t="s">
        <v>5</v>
      </c>
      <c r="I219" s="9" t="s">
        <v>821</v>
      </c>
    </row>
    <row r="220" customFormat="false" ht="23.85" hidden="false" customHeight="false" outlineLevel="0" collapsed="false">
      <c r="A220" s="9" t="s">
        <v>12</v>
      </c>
      <c r="B220" s="9" t="s">
        <v>811</v>
      </c>
      <c r="C220" s="9" t="s">
        <v>812</v>
      </c>
      <c r="D220" s="9" t="s">
        <v>822</v>
      </c>
      <c r="E220" s="9" t="s">
        <v>823</v>
      </c>
      <c r="F220" s="9" t="s">
        <v>824</v>
      </c>
      <c r="G220" s="9" t="s">
        <v>825</v>
      </c>
      <c r="H220" s="9" t="s">
        <v>5</v>
      </c>
      <c r="I220" s="9" t="s">
        <v>511</v>
      </c>
    </row>
    <row r="221" customFormat="false" ht="23.85" hidden="false" customHeight="false" outlineLevel="0" collapsed="false">
      <c r="A221" s="9" t="s">
        <v>12</v>
      </c>
      <c r="B221" s="9" t="s">
        <v>811</v>
      </c>
      <c r="C221" s="9" t="s">
        <v>812</v>
      </c>
      <c r="D221" s="9" t="s">
        <v>826</v>
      </c>
      <c r="E221" s="9" t="s">
        <v>827</v>
      </c>
      <c r="F221" s="9" t="s">
        <v>828</v>
      </c>
      <c r="G221" s="9" t="s">
        <v>829</v>
      </c>
      <c r="H221" s="9" t="s">
        <v>5</v>
      </c>
      <c r="I221" s="9" t="s">
        <v>511</v>
      </c>
    </row>
    <row r="222" customFormat="false" ht="23.85" hidden="false" customHeight="false" outlineLevel="0" collapsed="false">
      <c r="A222" s="9" t="s">
        <v>12</v>
      </c>
      <c r="B222" s="9" t="s">
        <v>811</v>
      </c>
      <c r="C222" s="9" t="s">
        <v>812</v>
      </c>
      <c r="D222" s="9" t="s">
        <v>830</v>
      </c>
      <c r="E222" s="9" t="s">
        <v>831</v>
      </c>
      <c r="F222" s="9" t="s">
        <v>832</v>
      </c>
      <c r="G222" s="9" t="s">
        <v>833</v>
      </c>
      <c r="H222" s="9" t="s">
        <v>5</v>
      </c>
      <c r="I222" s="9" t="s">
        <v>834</v>
      </c>
    </row>
    <row r="223" customFormat="false" ht="23.85" hidden="false" customHeight="false" outlineLevel="0" collapsed="false">
      <c r="A223" s="9" t="s">
        <v>12</v>
      </c>
      <c r="B223" s="9" t="s">
        <v>811</v>
      </c>
      <c r="C223" s="9" t="s">
        <v>812</v>
      </c>
      <c r="D223" s="9" t="s">
        <v>835</v>
      </c>
      <c r="E223" s="9" t="s">
        <v>836</v>
      </c>
      <c r="F223" s="9" t="s">
        <v>837</v>
      </c>
      <c r="G223" s="9" t="s">
        <v>838</v>
      </c>
      <c r="H223" s="9" t="s">
        <v>4</v>
      </c>
      <c r="I223" s="9"/>
    </row>
    <row r="224" customFormat="false" ht="35.05" hidden="false" customHeight="false" outlineLevel="0" collapsed="false">
      <c r="A224" s="9" t="s">
        <v>12</v>
      </c>
      <c r="B224" s="9" t="s">
        <v>811</v>
      </c>
      <c r="C224" s="9" t="s">
        <v>812</v>
      </c>
      <c r="D224" s="9" t="s">
        <v>839</v>
      </c>
      <c r="E224" s="9" t="s">
        <v>840</v>
      </c>
      <c r="F224" s="9" t="s">
        <v>841</v>
      </c>
      <c r="G224" s="9" t="s">
        <v>842</v>
      </c>
      <c r="H224" s="9" t="s">
        <v>4</v>
      </c>
      <c r="I224" s="9" t="s">
        <v>843</v>
      </c>
    </row>
    <row r="225" customFormat="false" ht="35.05" hidden="false" customHeight="false" outlineLevel="0" collapsed="false">
      <c r="A225" s="9" t="s">
        <v>12</v>
      </c>
      <c r="B225" s="9" t="s">
        <v>811</v>
      </c>
      <c r="C225" s="9" t="s">
        <v>812</v>
      </c>
      <c r="D225" s="9" t="s">
        <v>844</v>
      </c>
      <c r="E225" s="9" t="s">
        <v>845</v>
      </c>
      <c r="F225" s="9" t="s">
        <v>846</v>
      </c>
      <c r="G225" s="9" t="s">
        <v>847</v>
      </c>
      <c r="H225" s="9" t="s">
        <v>6</v>
      </c>
      <c r="I225" s="9" t="s">
        <v>606</v>
      </c>
    </row>
    <row r="226" customFormat="false" ht="23.85" hidden="false" customHeight="false" outlineLevel="0" collapsed="false">
      <c r="A226" s="9" t="s">
        <v>12</v>
      </c>
      <c r="B226" s="9" t="s">
        <v>811</v>
      </c>
      <c r="C226" s="9" t="s">
        <v>812</v>
      </c>
      <c r="D226" s="9" t="s">
        <v>848</v>
      </c>
      <c r="E226" s="9" t="s">
        <v>849</v>
      </c>
      <c r="F226" s="9" t="s">
        <v>850</v>
      </c>
      <c r="G226" s="9" t="s">
        <v>851</v>
      </c>
      <c r="H226" s="9" t="s">
        <v>5</v>
      </c>
      <c r="I226" s="9"/>
    </row>
    <row r="227" customFormat="false" ht="23.85" hidden="false" customHeight="false" outlineLevel="0" collapsed="false">
      <c r="A227" s="9" t="s">
        <v>12</v>
      </c>
      <c r="B227" s="9" t="s">
        <v>811</v>
      </c>
      <c r="C227" s="9" t="s">
        <v>812</v>
      </c>
      <c r="D227" s="9" t="s">
        <v>852</v>
      </c>
      <c r="E227" s="9" t="s">
        <v>853</v>
      </c>
      <c r="F227" s="9" t="s">
        <v>854</v>
      </c>
      <c r="G227" s="9" t="s">
        <v>855</v>
      </c>
      <c r="H227" s="9" t="s">
        <v>5</v>
      </c>
      <c r="I227" s="9"/>
    </row>
    <row r="228" customFormat="false" ht="23.85" hidden="false" customHeight="false" outlineLevel="0" collapsed="false">
      <c r="A228" s="9" t="s">
        <v>12</v>
      </c>
      <c r="B228" s="9" t="s">
        <v>811</v>
      </c>
      <c r="C228" s="9" t="s">
        <v>812</v>
      </c>
      <c r="D228" s="9" t="s">
        <v>856</v>
      </c>
      <c r="E228" s="9" t="s">
        <v>857</v>
      </c>
      <c r="F228" s="9" t="s">
        <v>858</v>
      </c>
      <c r="G228" s="9" t="s">
        <v>859</v>
      </c>
      <c r="H228" s="9" t="s">
        <v>6</v>
      </c>
      <c r="I228" s="9" t="s">
        <v>860</v>
      </c>
    </row>
    <row r="229" customFormat="false" ht="35.05" hidden="false" customHeight="false" outlineLevel="0" collapsed="false">
      <c r="A229" s="9" t="s">
        <v>12</v>
      </c>
      <c r="B229" s="9" t="s">
        <v>811</v>
      </c>
      <c r="C229" s="9" t="s">
        <v>812</v>
      </c>
      <c r="D229" s="9" t="s">
        <v>861</v>
      </c>
      <c r="E229" s="9" t="s">
        <v>862</v>
      </c>
      <c r="F229" s="9" t="s">
        <v>863</v>
      </c>
      <c r="G229" s="9" t="s">
        <v>864</v>
      </c>
      <c r="H229" s="9" t="s">
        <v>6</v>
      </c>
      <c r="I229" s="9" t="s">
        <v>606</v>
      </c>
    </row>
    <row r="230" customFormat="false" ht="46.25" hidden="false" customHeight="false" outlineLevel="0" collapsed="false">
      <c r="A230" s="9" t="s">
        <v>12</v>
      </c>
      <c r="B230" s="9" t="s">
        <v>811</v>
      </c>
      <c r="C230" s="9" t="s">
        <v>812</v>
      </c>
      <c r="D230" s="9" t="s">
        <v>865</v>
      </c>
      <c r="E230" s="9" t="s">
        <v>866</v>
      </c>
      <c r="F230" s="9" t="s">
        <v>867</v>
      </c>
      <c r="G230" s="9" t="s">
        <v>175</v>
      </c>
      <c r="H230" s="9" t="s">
        <v>6</v>
      </c>
      <c r="I230" s="9" t="s">
        <v>176</v>
      </c>
    </row>
    <row r="231" customFormat="false" ht="23.85" hidden="false" customHeight="false" outlineLevel="0" collapsed="false">
      <c r="A231" s="9" t="s">
        <v>12</v>
      </c>
      <c r="B231" s="9" t="s">
        <v>868</v>
      </c>
      <c r="C231" s="9" t="s">
        <v>869</v>
      </c>
      <c r="D231" s="9" t="s">
        <v>870</v>
      </c>
      <c r="E231" s="9" t="s">
        <v>871</v>
      </c>
      <c r="F231" s="9" t="s">
        <v>872</v>
      </c>
      <c r="G231" s="9" t="s">
        <v>873</v>
      </c>
      <c r="H231" s="9" t="s">
        <v>4</v>
      </c>
      <c r="I231" s="9" t="s">
        <v>874</v>
      </c>
    </row>
    <row r="232" customFormat="false" ht="23.85" hidden="false" customHeight="false" outlineLevel="0" collapsed="false">
      <c r="A232" s="9" t="s">
        <v>12</v>
      </c>
      <c r="B232" s="9" t="s">
        <v>868</v>
      </c>
      <c r="C232" s="9" t="s">
        <v>869</v>
      </c>
      <c r="D232" s="9" t="s">
        <v>875</v>
      </c>
      <c r="E232" s="9" t="s">
        <v>876</v>
      </c>
      <c r="F232" s="9" t="s">
        <v>877</v>
      </c>
      <c r="G232" s="9" t="s">
        <v>878</v>
      </c>
      <c r="H232" s="9" t="s">
        <v>5</v>
      </c>
      <c r="I232" s="9" t="s">
        <v>879</v>
      </c>
    </row>
    <row r="233" customFormat="false" ht="23.85" hidden="false" customHeight="false" outlineLevel="0" collapsed="false">
      <c r="A233" s="9" t="s">
        <v>12</v>
      </c>
      <c r="B233" s="9" t="s">
        <v>868</v>
      </c>
      <c r="C233" s="9" t="s">
        <v>869</v>
      </c>
      <c r="D233" s="9" t="s">
        <v>880</v>
      </c>
      <c r="E233" s="9" t="s">
        <v>881</v>
      </c>
      <c r="F233" s="9" t="s">
        <v>882</v>
      </c>
      <c r="G233" s="9" t="s">
        <v>883</v>
      </c>
      <c r="H233" s="9" t="s">
        <v>5</v>
      </c>
      <c r="I233" s="9" t="s">
        <v>879</v>
      </c>
    </row>
    <row r="234" customFormat="false" ht="23.85" hidden="false" customHeight="false" outlineLevel="0" collapsed="false">
      <c r="A234" s="9" t="s">
        <v>12</v>
      </c>
      <c r="B234" s="9" t="s">
        <v>868</v>
      </c>
      <c r="C234" s="9" t="s">
        <v>869</v>
      </c>
      <c r="D234" s="9" t="s">
        <v>884</v>
      </c>
      <c r="E234" s="9" t="s">
        <v>885</v>
      </c>
      <c r="F234" s="9" t="s">
        <v>886</v>
      </c>
      <c r="G234" s="9" t="s">
        <v>887</v>
      </c>
      <c r="H234" s="9" t="s">
        <v>5</v>
      </c>
      <c r="I234" s="9" t="s">
        <v>879</v>
      </c>
    </row>
    <row r="235" customFormat="false" ht="23.85" hidden="false" customHeight="false" outlineLevel="0" collapsed="false">
      <c r="A235" s="9" t="s">
        <v>12</v>
      </c>
      <c r="B235" s="9" t="s">
        <v>868</v>
      </c>
      <c r="C235" s="9" t="s">
        <v>869</v>
      </c>
      <c r="D235" s="9" t="s">
        <v>888</v>
      </c>
      <c r="E235" s="9" t="s">
        <v>889</v>
      </c>
      <c r="F235" s="9" t="s">
        <v>890</v>
      </c>
      <c r="G235" s="9" t="s">
        <v>891</v>
      </c>
      <c r="H235" s="9" t="s">
        <v>5</v>
      </c>
      <c r="I235" s="9" t="s">
        <v>879</v>
      </c>
    </row>
    <row r="236" customFormat="false" ht="23.85" hidden="false" customHeight="false" outlineLevel="0" collapsed="false">
      <c r="A236" s="9" t="s">
        <v>12</v>
      </c>
      <c r="B236" s="9" t="s">
        <v>868</v>
      </c>
      <c r="C236" s="9" t="s">
        <v>869</v>
      </c>
      <c r="D236" s="9" t="s">
        <v>892</v>
      </c>
      <c r="E236" s="9" t="s">
        <v>893</v>
      </c>
      <c r="F236" s="9" t="s">
        <v>894</v>
      </c>
      <c r="G236" s="9" t="s">
        <v>895</v>
      </c>
      <c r="H236" s="9" t="s">
        <v>5</v>
      </c>
      <c r="I236" s="9" t="s">
        <v>879</v>
      </c>
    </row>
    <row r="237" customFormat="false" ht="23.85" hidden="false" customHeight="false" outlineLevel="0" collapsed="false">
      <c r="A237" s="9" t="s">
        <v>12</v>
      </c>
      <c r="B237" s="9" t="s">
        <v>868</v>
      </c>
      <c r="C237" s="9" t="s">
        <v>869</v>
      </c>
      <c r="D237" s="9" t="s">
        <v>896</v>
      </c>
      <c r="E237" s="9" t="s">
        <v>897</v>
      </c>
      <c r="F237" s="9" t="s">
        <v>898</v>
      </c>
      <c r="G237" s="9" t="s">
        <v>899</v>
      </c>
      <c r="H237" s="9" t="s">
        <v>5</v>
      </c>
      <c r="I237" s="9" t="s">
        <v>879</v>
      </c>
    </row>
    <row r="238" customFormat="false" ht="46.25" hidden="false" customHeight="false" outlineLevel="0" collapsed="false">
      <c r="A238" s="9" t="s">
        <v>12</v>
      </c>
      <c r="B238" s="9" t="s">
        <v>868</v>
      </c>
      <c r="C238" s="9" t="s">
        <v>869</v>
      </c>
      <c r="D238" s="9" t="s">
        <v>900</v>
      </c>
      <c r="E238" s="9" t="s">
        <v>901</v>
      </c>
      <c r="F238" s="9" t="s">
        <v>902</v>
      </c>
      <c r="G238" s="9" t="s">
        <v>903</v>
      </c>
      <c r="H238" s="9" t="s">
        <v>5</v>
      </c>
      <c r="I238" s="9" t="s">
        <v>879</v>
      </c>
    </row>
    <row r="239" customFormat="false" ht="35.05" hidden="false" customHeight="false" outlineLevel="0" collapsed="false">
      <c r="A239" s="9" t="s">
        <v>12</v>
      </c>
      <c r="B239" s="9" t="s">
        <v>868</v>
      </c>
      <c r="C239" s="9" t="s">
        <v>869</v>
      </c>
      <c r="D239" s="9" t="s">
        <v>904</v>
      </c>
      <c r="E239" s="9" t="s">
        <v>905</v>
      </c>
      <c r="F239" s="9" t="s">
        <v>906</v>
      </c>
      <c r="G239" s="9" t="s">
        <v>907</v>
      </c>
      <c r="H239" s="9" t="s">
        <v>5</v>
      </c>
      <c r="I239" s="9" t="s">
        <v>879</v>
      </c>
    </row>
    <row r="240" customFormat="false" ht="23.85" hidden="false" customHeight="false" outlineLevel="0" collapsed="false">
      <c r="A240" s="9" t="s">
        <v>12</v>
      </c>
      <c r="B240" s="9" t="s">
        <v>908</v>
      </c>
      <c r="C240" s="9" t="s">
        <v>909</v>
      </c>
      <c r="D240" s="9" t="s">
        <v>910</v>
      </c>
      <c r="E240" s="9" t="s">
        <v>911</v>
      </c>
      <c r="F240" s="9" t="s">
        <v>912</v>
      </c>
      <c r="G240" s="9" t="s">
        <v>913</v>
      </c>
      <c r="H240" s="9" t="s">
        <v>4</v>
      </c>
      <c r="I240" s="9" t="s">
        <v>914</v>
      </c>
    </row>
    <row r="241" customFormat="false" ht="57.45" hidden="false" customHeight="false" outlineLevel="0" collapsed="false">
      <c r="A241" s="9" t="s">
        <v>12</v>
      </c>
      <c r="B241" s="9" t="s">
        <v>908</v>
      </c>
      <c r="C241" s="9" t="s">
        <v>909</v>
      </c>
      <c r="D241" s="9" t="s">
        <v>915</v>
      </c>
      <c r="E241" s="9" t="s">
        <v>916</v>
      </c>
      <c r="F241" s="9" t="s">
        <v>917</v>
      </c>
      <c r="G241" s="9" t="s">
        <v>918</v>
      </c>
      <c r="H241" s="9" t="s">
        <v>5</v>
      </c>
      <c r="I241" s="9"/>
    </row>
    <row r="242" customFormat="false" ht="23.85" hidden="false" customHeight="false" outlineLevel="0" collapsed="false">
      <c r="A242" s="9" t="s">
        <v>12</v>
      </c>
      <c r="B242" s="9" t="s">
        <v>908</v>
      </c>
      <c r="C242" s="9" t="s">
        <v>909</v>
      </c>
      <c r="D242" s="9" t="s">
        <v>919</v>
      </c>
      <c r="E242" s="9" t="s">
        <v>920</v>
      </c>
      <c r="F242" s="9" t="s">
        <v>921</v>
      </c>
      <c r="G242" s="9" t="s">
        <v>922</v>
      </c>
      <c r="H242" s="9" t="s">
        <v>5</v>
      </c>
      <c r="I242" s="9"/>
    </row>
    <row r="243" customFormat="false" ht="23.85" hidden="false" customHeight="false" outlineLevel="0" collapsed="false">
      <c r="A243" s="9" t="s">
        <v>12</v>
      </c>
      <c r="B243" s="9" t="s">
        <v>908</v>
      </c>
      <c r="C243" s="9" t="s">
        <v>909</v>
      </c>
      <c r="D243" s="9" t="s">
        <v>923</v>
      </c>
      <c r="E243" s="9" t="s">
        <v>924</v>
      </c>
      <c r="F243" s="9" t="s">
        <v>925</v>
      </c>
      <c r="G243" s="9" t="s">
        <v>926</v>
      </c>
      <c r="H243" s="9" t="s">
        <v>5</v>
      </c>
      <c r="I243" s="9" t="s">
        <v>511</v>
      </c>
    </row>
    <row r="244" customFormat="false" ht="23.85" hidden="false" customHeight="false" outlineLevel="0" collapsed="false">
      <c r="A244" s="9" t="s">
        <v>12</v>
      </c>
      <c r="B244" s="9" t="s">
        <v>908</v>
      </c>
      <c r="C244" s="9" t="s">
        <v>909</v>
      </c>
      <c r="D244" s="9" t="s">
        <v>927</v>
      </c>
      <c r="E244" s="9" t="s">
        <v>928</v>
      </c>
      <c r="F244" s="9" t="s">
        <v>929</v>
      </c>
      <c r="G244" s="9" t="s">
        <v>930</v>
      </c>
      <c r="H244" s="9" t="s">
        <v>5</v>
      </c>
      <c r="I244" s="9" t="s">
        <v>511</v>
      </c>
    </row>
    <row r="245" customFormat="false" ht="23.85" hidden="false" customHeight="false" outlineLevel="0" collapsed="false">
      <c r="A245" s="9" t="s">
        <v>12</v>
      </c>
      <c r="B245" s="9" t="s">
        <v>908</v>
      </c>
      <c r="C245" s="9" t="s">
        <v>909</v>
      </c>
      <c r="D245" s="9" t="s">
        <v>931</v>
      </c>
      <c r="E245" s="9" t="s">
        <v>932</v>
      </c>
      <c r="F245" s="9" t="s">
        <v>933</v>
      </c>
      <c r="G245" s="9" t="s">
        <v>934</v>
      </c>
      <c r="H245" s="9" t="s">
        <v>6</v>
      </c>
      <c r="I245" s="9" t="s">
        <v>606</v>
      </c>
    </row>
    <row r="246" customFormat="false" ht="46.25" hidden="false" customHeight="false" outlineLevel="0" collapsed="false">
      <c r="A246" s="9" t="s">
        <v>12</v>
      </c>
      <c r="B246" s="9" t="s">
        <v>908</v>
      </c>
      <c r="C246" s="9" t="s">
        <v>909</v>
      </c>
      <c r="D246" s="9" t="s">
        <v>935</v>
      </c>
      <c r="E246" s="9" t="s">
        <v>936</v>
      </c>
      <c r="F246" s="9" t="s">
        <v>937</v>
      </c>
      <c r="G246" s="9" t="s">
        <v>938</v>
      </c>
      <c r="H246" s="9" t="s">
        <v>5</v>
      </c>
      <c r="I246" s="9" t="s">
        <v>511</v>
      </c>
    </row>
    <row r="247" customFormat="false" ht="23.85" hidden="false" customHeight="false" outlineLevel="0" collapsed="false">
      <c r="A247" s="9" t="s">
        <v>12</v>
      </c>
      <c r="B247" s="9" t="s">
        <v>939</v>
      </c>
      <c r="C247" s="9" t="s">
        <v>940</v>
      </c>
      <c r="D247" s="9" t="s">
        <v>941</v>
      </c>
      <c r="E247" s="9" t="s">
        <v>942</v>
      </c>
      <c r="F247" s="9" t="s">
        <v>943</v>
      </c>
      <c r="G247" s="9" t="s">
        <v>944</v>
      </c>
      <c r="H247" s="9" t="s">
        <v>5</v>
      </c>
      <c r="I247" s="9" t="s">
        <v>511</v>
      </c>
    </row>
    <row r="248" customFormat="false" ht="15" hidden="false" customHeight="false" outlineLevel="0" collapsed="false">
      <c r="A248" s="9" t="s">
        <v>12</v>
      </c>
      <c r="B248" s="9" t="s">
        <v>939</v>
      </c>
      <c r="C248" s="9" t="s">
        <v>940</v>
      </c>
      <c r="D248" s="9" t="s">
        <v>945</v>
      </c>
      <c r="E248" s="9" t="s">
        <v>946</v>
      </c>
      <c r="F248" s="9" t="s">
        <v>947</v>
      </c>
      <c r="G248" s="9" t="s">
        <v>944</v>
      </c>
      <c r="H248" s="9" t="s">
        <v>5</v>
      </c>
      <c r="I248" s="9" t="s">
        <v>511</v>
      </c>
    </row>
    <row r="249" customFormat="false" ht="23.85" hidden="false" customHeight="false" outlineLevel="0" collapsed="false">
      <c r="A249" s="9" t="s">
        <v>12</v>
      </c>
      <c r="B249" s="9" t="s">
        <v>939</v>
      </c>
      <c r="C249" s="9" t="s">
        <v>940</v>
      </c>
      <c r="D249" s="9" t="s">
        <v>948</v>
      </c>
      <c r="E249" s="9" t="s">
        <v>949</v>
      </c>
      <c r="F249" s="9" t="s">
        <v>950</v>
      </c>
      <c r="G249" s="9" t="s">
        <v>944</v>
      </c>
      <c r="H249" s="9" t="s">
        <v>5</v>
      </c>
      <c r="I249" s="9" t="s">
        <v>511</v>
      </c>
    </row>
    <row r="250" customFormat="false" ht="23.85" hidden="false" customHeight="false" outlineLevel="0" collapsed="false">
      <c r="A250" s="9" t="s">
        <v>12</v>
      </c>
      <c r="B250" s="9" t="s">
        <v>939</v>
      </c>
      <c r="C250" s="9" t="s">
        <v>940</v>
      </c>
      <c r="D250" s="9" t="s">
        <v>951</v>
      </c>
      <c r="E250" s="9" t="s">
        <v>952</v>
      </c>
      <c r="F250" s="9" t="s">
        <v>953</v>
      </c>
      <c r="G250" s="9" t="s">
        <v>944</v>
      </c>
      <c r="H250" s="9" t="s">
        <v>5</v>
      </c>
      <c r="I250" s="9" t="s">
        <v>511</v>
      </c>
    </row>
    <row r="251" customFormat="false" ht="15" hidden="false" customHeight="false" outlineLevel="0" collapsed="false">
      <c r="A251" s="9" t="s">
        <v>12</v>
      </c>
      <c r="B251" s="9" t="s">
        <v>939</v>
      </c>
      <c r="C251" s="9" t="s">
        <v>940</v>
      </c>
      <c r="D251" s="9" t="s">
        <v>954</v>
      </c>
      <c r="E251" s="9" t="s">
        <v>955</v>
      </c>
      <c r="F251" s="9" t="s">
        <v>956</v>
      </c>
      <c r="G251" s="9" t="s">
        <v>944</v>
      </c>
      <c r="H251" s="9" t="s">
        <v>5</v>
      </c>
      <c r="I251" s="9" t="s">
        <v>511</v>
      </c>
    </row>
    <row r="252" customFormat="false" ht="15" hidden="false" customHeight="false" outlineLevel="0" collapsed="false">
      <c r="A252" s="9" t="s">
        <v>12</v>
      </c>
      <c r="B252" s="9" t="s">
        <v>939</v>
      </c>
      <c r="C252" s="9" t="s">
        <v>940</v>
      </c>
      <c r="D252" s="9" t="s">
        <v>957</v>
      </c>
      <c r="E252" s="9" t="s">
        <v>958</v>
      </c>
      <c r="F252" s="9" t="s">
        <v>959</v>
      </c>
      <c r="G252" s="9" t="s">
        <v>944</v>
      </c>
      <c r="H252" s="9" t="s">
        <v>5</v>
      </c>
      <c r="I252" s="9" t="s">
        <v>511</v>
      </c>
    </row>
    <row r="253" customFormat="false" ht="35.05" hidden="false" customHeight="false" outlineLevel="0" collapsed="false">
      <c r="A253" s="9" t="s">
        <v>12</v>
      </c>
      <c r="B253" s="9" t="s">
        <v>960</v>
      </c>
      <c r="C253" s="9" t="s">
        <v>961</v>
      </c>
      <c r="D253" s="9" t="s">
        <v>962</v>
      </c>
      <c r="E253" s="9" t="s">
        <v>963</v>
      </c>
      <c r="F253" s="9" t="s">
        <v>964</v>
      </c>
      <c r="G253" s="9" t="s">
        <v>965</v>
      </c>
      <c r="H253" s="9" t="s">
        <v>5</v>
      </c>
      <c r="I253" s="9" t="s">
        <v>511</v>
      </c>
    </row>
    <row r="254" customFormat="false" ht="23.85" hidden="false" customHeight="false" outlineLevel="0" collapsed="false">
      <c r="A254" s="9" t="s">
        <v>12</v>
      </c>
      <c r="B254" s="9" t="s">
        <v>960</v>
      </c>
      <c r="C254" s="9" t="s">
        <v>961</v>
      </c>
      <c r="D254" s="9" t="s">
        <v>966</v>
      </c>
      <c r="E254" s="9" t="s">
        <v>967</v>
      </c>
      <c r="F254" s="9" t="s">
        <v>968</v>
      </c>
      <c r="G254" s="9" t="s">
        <v>965</v>
      </c>
      <c r="H254" s="9" t="s">
        <v>5</v>
      </c>
      <c r="I254" s="9" t="s">
        <v>511</v>
      </c>
    </row>
    <row r="255" customFormat="false" ht="23.85" hidden="false" customHeight="false" outlineLevel="0" collapsed="false">
      <c r="A255" s="9" t="s">
        <v>12</v>
      </c>
      <c r="B255" s="9" t="s">
        <v>960</v>
      </c>
      <c r="C255" s="9" t="s">
        <v>961</v>
      </c>
      <c r="D255" s="9" t="s">
        <v>969</v>
      </c>
      <c r="E255" s="9" t="s">
        <v>970</v>
      </c>
      <c r="F255" s="9" t="s">
        <v>971</v>
      </c>
      <c r="G255" s="9" t="s">
        <v>965</v>
      </c>
      <c r="H255" s="9" t="s">
        <v>5</v>
      </c>
      <c r="I255" s="9" t="s">
        <v>511</v>
      </c>
    </row>
    <row r="256" customFormat="false" ht="23.85" hidden="false" customHeight="false" outlineLevel="0" collapsed="false">
      <c r="A256" s="9" t="s">
        <v>12</v>
      </c>
      <c r="B256" s="9" t="s">
        <v>960</v>
      </c>
      <c r="C256" s="9" t="s">
        <v>961</v>
      </c>
      <c r="D256" s="9" t="s">
        <v>972</v>
      </c>
      <c r="E256" s="9" t="s">
        <v>973</v>
      </c>
      <c r="F256" s="9" t="s">
        <v>974</v>
      </c>
      <c r="G256" s="9" t="s">
        <v>965</v>
      </c>
      <c r="H256" s="9" t="s">
        <v>5</v>
      </c>
      <c r="I256" s="9" t="s">
        <v>511</v>
      </c>
    </row>
    <row r="257" customFormat="false" ht="23.85" hidden="false" customHeight="false" outlineLevel="0" collapsed="false">
      <c r="A257" s="9" t="s">
        <v>12</v>
      </c>
      <c r="B257" s="9" t="s">
        <v>960</v>
      </c>
      <c r="C257" s="9" t="s">
        <v>961</v>
      </c>
      <c r="D257" s="9" t="s">
        <v>975</v>
      </c>
      <c r="E257" s="9" t="s">
        <v>976</v>
      </c>
      <c r="F257" s="9" t="s">
        <v>977</v>
      </c>
      <c r="G257" s="9" t="s">
        <v>965</v>
      </c>
      <c r="H257" s="9" t="s">
        <v>5</v>
      </c>
      <c r="I257" s="9" t="s">
        <v>511</v>
      </c>
    </row>
    <row r="258" customFormat="false" ht="35.05" hidden="false" customHeight="false" outlineLevel="0" collapsed="false">
      <c r="A258" s="9" t="s">
        <v>12</v>
      </c>
      <c r="B258" s="9" t="s">
        <v>960</v>
      </c>
      <c r="C258" s="9" t="s">
        <v>961</v>
      </c>
      <c r="D258" s="9" t="s">
        <v>978</v>
      </c>
      <c r="E258" s="9" t="s">
        <v>979</v>
      </c>
      <c r="F258" s="9" t="s">
        <v>980</v>
      </c>
      <c r="G258" s="9" t="s">
        <v>965</v>
      </c>
      <c r="H258" s="9" t="s">
        <v>5</v>
      </c>
      <c r="I258" s="9" t="s">
        <v>511</v>
      </c>
    </row>
    <row r="259" customFormat="false" ht="23.85" hidden="false" customHeight="false" outlineLevel="0" collapsed="false">
      <c r="A259" s="9" t="s">
        <v>12</v>
      </c>
      <c r="B259" s="9" t="s">
        <v>981</v>
      </c>
      <c r="C259" s="9" t="s">
        <v>982</v>
      </c>
      <c r="D259" s="9" t="s">
        <v>983</v>
      </c>
      <c r="E259" s="9" t="s">
        <v>984</v>
      </c>
      <c r="F259" s="9" t="s">
        <v>985</v>
      </c>
      <c r="G259" s="9" t="s">
        <v>986</v>
      </c>
      <c r="H259" s="9" t="s">
        <v>5</v>
      </c>
      <c r="I259" s="9"/>
    </row>
    <row r="260" customFormat="false" ht="23.85" hidden="false" customHeight="false" outlineLevel="0" collapsed="false">
      <c r="A260" s="9" t="s">
        <v>12</v>
      </c>
      <c r="B260" s="9" t="s">
        <v>981</v>
      </c>
      <c r="C260" s="9" t="s">
        <v>982</v>
      </c>
      <c r="D260" s="9" t="s">
        <v>987</v>
      </c>
      <c r="E260" s="9" t="s">
        <v>988</v>
      </c>
      <c r="F260" s="9" t="s">
        <v>989</v>
      </c>
      <c r="G260" s="9" t="s">
        <v>990</v>
      </c>
      <c r="H260" s="9" t="s">
        <v>4</v>
      </c>
      <c r="I260" s="9"/>
    </row>
    <row r="261" customFormat="false" ht="23.85" hidden="false" customHeight="false" outlineLevel="0" collapsed="false">
      <c r="A261" s="9" t="s">
        <v>12</v>
      </c>
      <c r="B261" s="9" t="s">
        <v>981</v>
      </c>
      <c r="C261" s="9" t="s">
        <v>982</v>
      </c>
      <c r="D261" s="9" t="s">
        <v>991</v>
      </c>
      <c r="E261" s="9" t="s">
        <v>992</v>
      </c>
      <c r="F261" s="9" t="s">
        <v>993</v>
      </c>
      <c r="G261" s="9" t="s">
        <v>994</v>
      </c>
      <c r="H261" s="9" t="s">
        <v>4</v>
      </c>
      <c r="I261" s="9"/>
    </row>
    <row r="262" customFormat="false" ht="23.85" hidden="false" customHeight="false" outlineLevel="0" collapsed="false">
      <c r="A262" s="9" t="s">
        <v>12</v>
      </c>
      <c r="B262" s="9" t="s">
        <v>981</v>
      </c>
      <c r="C262" s="9" t="s">
        <v>982</v>
      </c>
      <c r="D262" s="9" t="s">
        <v>995</v>
      </c>
      <c r="E262" s="9" t="s">
        <v>996</v>
      </c>
      <c r="F262" s="9" t="s">
        <v>997</v>
      </c>
      <c r="G262" s="9" t="s">
        <v>998</v>
      </c>
      <c r="H262" s="9" t="s">
        <v>5</v>
      </c>
      <c r="I262" s="9"/>
    </row>
    <row r="263" customFormat="false" ht="23.85" hidden="false" customHeight="false" outlineLevel="0" collapsed="false">
      <c r="A263" s="9" t="s">
        <v>12</v>
      </c>
      <c r="B263" s="9" t="s">
        <v>981</v>
      </c>
      <c r="C263" s="9" t="s">
        <v>982</v>
      </c>
      <c r="D263" s="9" t="s">
        <v>999</v>
      </c>
      <c r="E263" s="9" t="s">
        <v>1000</v>
      </c>
      <c r="F263" s="9" t="s">
        <v>1001</v>
      </c>
      <c r="G263" s="9" t="s">
        <v>1002</v>
      </c>
      <c r="H263" s="9" t="s">
        <v>5</v>
      </c>
      <c r="I263" s="9"/>
    </row>
    <row r="264" customFormat="false" ht="23.85" hidden="false" customHeight="false" outlineLevel="0" collapsed="false">
      <c r="A264" s="9" t="s">
        <v>12</v>
      </c>
      <c r="B264" s="9" t="s">
        <v>981</v>
      </c>
      <c r="C264" s="9" t="s">
        <v>982</v>
      </c>
      <c r="D264" s="9" t="s">
        <v>1003</v>
      </c>
      <c r="E264" s="9" t="s">
        <v>1004</v>
      </c>
      <c r="F264" s="9" t="s">
        <v>1005</v>
      </c>
      <c r="G264" s="9" t="s">
        <v>1006</v>
      </c>
      <c r="H264" s="9" t="s">
        <v>6</v>
      </c>
      <c r="I264" s="9" t="s">
        <v>588</v>
      </c>
    </row>
    <row r="265" customFormat="false" ht="35.05" hidden="false" customHeight="false" outlineLevel="0" collapsed="false">
      <c r="A265" s="9" t="s">
        <v>12</v>
      </c>
      <c r="B265" s="9" t="s">
        <v>981</v>
      </c>
      <c r="C265" s="9" t="s">
        <v>982</v>
      </c>
      <c r="D265" s="9" t="s">
        <v>1007</v>
      </c>
      <c r="E265" s="9" t="s">
        <v>1008</v>
      </c>
      <c r="F265" s="9" t="s">
        <v>1009</v>
      </c>
      <c r="G265" s="9" t="s">
        <v>1010</v>
      </c>
      <c r="H265" s="9" t="s">
        <v>5</v>
      </c>
      <c r="I265" s="9" t="s">
        <v>511</v>
      </c>
    </row>
    <row r="266" customFormat="false" ht="23.85" hidden="false" customHeight="false" outlineLevel="0" collapsed="false">
      <c r="A266" s="9" t="s">
        <v>12</v>
      </c>
      <c r="B266" s="9" t="s">
        <v>1011</v>
      </c>
      <c r="C266" s="9" t="s">
        <v>1012</v>
      </c>
      <c r="D266" s="9" t="s">
        <v>1013</v>
      </c>
      <c r="E266" s="9" t="s">
        <v>1014</v>
      </c>
      <c r="F266" s="9" t="s">
        <v>1015</v>
      </c>
      <c r="G266" s="9" t="s">
        <v>1016</v>
      </c>
      <c r="H266" s="9" t="s">
        <v>6</v>
      </c>
      <c r="I266" s="9" t="s">
        <v>1017</v>
      </c>
    </row>
    <row r="267" customFormat="false" ht="23.85" hidden="false" customHeight="false" outlineLevel="0" collapsed="false">
      <c r="A267" s="9" t="s">
        <v>12</v>
      </c>
      <c r="B267" s="9" t="s">
        <v>1011</v>
      </c>
      <c r="C267" s="9" t="s">
        <v>1012</v>
      </c>
      <c r="D267" s="9" t="s">
        <v>1018</v>
      </c>
      <c r="E267" s="9" t="s">
        <v>1019</v>
      </c>
      <c r="F267" s="9" t="s">
        <v>1020</v>
      </c>
      <c r="G267" s="9" t="s">
        <v>1021</v>
      </c>
      <c r="H267" s="9" t="s">
        <v>5</v>
      </c>
      <c r="I267" s="9"/>
    </row>
    <row r="268" customFormat="false" ht="23.85" hidden="false" customHeight="false" outlineLevel="0" collapsed="false">
      <c r="A268" s="9" t="s">
        <v>12</v>
      </c>
      <c r="B268" s="9" t="s">
        <v>1011</v>
      </c>
      <c r="C268" s="9" t="s">
        <v>1012</v>
      </c>
      <c r="D268" s="9" t="s">
        <v>1022</v>
      </c>
      <c r="E268" s="9" t="s">
        <v>1023</v>
      </c>
      <c r="F268" s="9" t="s">
        <v>1024</v>
      </c>
      <c r="G268" s="9" t="s">
        <v>1025</v>
      </c>
      <c r="H268" s="9" t="s">
        <v>5</v>
      </c>
      <c r="I268" s="9" t="s">
        <v>511</v>
      </c>
    </row>
    <row r="269" customFormat="false" ht="15" hidden="false" customHeight="false" outlineLevel="0" collapsed="false">
      <c r="A269" s="9" t="s">
        <v>12</v>
      </c>
      <c r="B269" s="9" t="s">
        <v>1011</v>
      </c>
      <c r="C269" s="9" t="s">
        <v>1012</v>
      </c>
      <c r="D269" s="9" t="s">
        <v>1026</v>
      </c>
      <c r="E269" s="9" t="s">
        <v>1027</v>
      </c>
      <c r="F269" s="9" t="s">
        <v>1028</v>
      </c>
      <c r="G269" s="9" t="s">
        <v>1029</v>
      </c>
      <c r="H269" s="9" t="s">
        <v>5</v>
      </c>
      <c r="I269" s="9" t="s">
        <v>511</v>
      </c>
    </row>
    <row r="270" customFormat="false" ht="15" hidden="false" customHeight="false" outlineLevel="0" collapsed="false">
      <c r="A270" s="9" t="s">
        <v>12</v>
      </c>
      <c r="B270" s="9" t="s">
        <v>1011</v>
      </c>
      <c r="C270" s="9" t="s">
        <v>1012</v>
      </c>
      <c r="D270" s="9" t="s">
        <v>1030</v>
      </c>
      <c r="E270" s="9" t="s">
        <v>1031</v>
      </c>
      <c r="F270" s="9" t="s">
        <v>1032</v>
      </c>
      <c r="G270" s="9" t="s">
        <v>1033</v>
      </c>
      <c r="H270" s="9" t="s">
        <v>5</v>
      </c>
      <c r="I270" s="9" t="s">
        <v>511</v>
      </c>
    </row>
    <row r="271" customFormat="false" ht="35.05" hidden="false" customHeight="false" outlineLevel="0" collapsed="false">
      <c r="A271" s="9" t="s">
        <v>12</v>
      </c>
      <c r="B271" s="9" t="s">
        <v>1011</v>
      </c>
      <c r="C271" s="9" t="s">
        <v>1012</v>
      </c>
      <c r="D271" s="9" t="s">
        <v>1034</v>
      </c>
      <c r="E271" s="9" t="s">
        <v>1035</v>
      </c>
      <c r="F271" s="9" t="s">
        <v>1036</v>
      </c>
      <c r="G271" s="9" t="s">
        <v>1037</v>
      </c>
      <c r="H271" s="9" t="s">
        <v>5</v>
      </c>
      <c r="I271" s="9" t="s">
        <v>511</v>
      </c>
    </row>
    <row r="272" customFormat="false" ht="35.05" hidden="false" customHeight="false" outlineLevel="0" collapsed="false">
      <c r="A272" s="9" t="s">
        <v>12</v>
      </c>
      <c r="B272" s="9" t="s">
        <v>1011</v>
      </c>
      <c r="C272" s="9" t="s">
        <v>1012</v>
      </c>
      <c r="D272" s="9" t="s">
        <v>1038</v>
      </c>
      <c r="E272" s="9" t="s">
        <v>1039</v>
      </c>
      <c r="F272" s="9" t="s">
        <v>1040</v>
      </c>
      <c r="G272" s="9" t="s">
        <v>1041</v>
      </c>
      <c r="H272" s="9" t="s">
        <v>5</v>
      </c>
      <c r="I272" s="9" t="s">
        <v>511</v>
      </c>
    </row>
    <row r="273" customFormat="false" ht="23.85" hidden="false" customHeight="false" outlineLevel="0" collapsed="false">
      <c r="A273" s="9" t="s">
        <v>12</v>
      </c>
      <c r="B273" s="9" t="s">
        <v>1011</v>
      </c>
      <c r="C273" s="9" t="s">
        <v>1012</v>
      </c>
      <c r="D273" s="9" t="s">
        <v>1042</v>
      </c>
      <c r="E273" s="9" t="s">
        <v>1043</v>
      </c>
      <c r="F273" s="9" t="s">
        <v>1044</v>
      </c>
      <c r="G273" s="9" t="s">
        <v>1045</v>
      </c>
      <c r="H273" s="9" t="s">
        <v>6</v>
      </c>
      <c r="I273" s="9" t="s">
        <v>606</v>
      </c>
    </row>
    <row r="274" customFormat="false" ht="57.45" hidden="false" customHeight="false" outlineLevel="0" collapsed="false">
      <c r="A274" s="9" t="s">
        <v>13</v>
      </c>
      <c r="B274" s="9" t="s">
        <v>1046</v>
      </c>
      <c r="C274" s="9" t="s">
        <v>1047</v>
      </c>
      <c r="D274" s="9" t="s">
        <v>1048</v>
      </c>
      <c r="E274" s="9" t="s">
        <v>1049</v>
      </c>
      <c r="F274" s="9" t="s">
        <v>1050</v>
      </c>
      <c r="G274" s="9" t="s">
        <v>1051</v>
      </c>
      <c r="H274" s="9" t="s">
        <v>5</v>
      </c>
      <c r="I274" s="9" t="s">
        <v>1052</v>
      </c>
    </row>
    <row r="275" customFormat="false" ht="35.05" hidden="false" customHeight="false" outlineLevel="0" collapsed="false">
      <c r="A275" s="9" t="s">
        <v>13</v>
      </c>
      <c r="B275" s="9" t="s">
        <v>1046</v>
      </c>
      <c r="C275" s="9" t="s">
        <v>1047</v>
      </c>
      <c r="D275" s="9" t="s">
        <v>1053</v>
      </c>
      <c r="E275" s="9" t="s">
        <v>1054</v>
      </c>
      <c r="F275" s="9" t="s">
        <v>1055</v>
      </c>
      <c r="G275" s="9" t="s">
        <v>1056</v>
      </c>
      <c r="H275" s="9" t="s">
        <v>5</v>
      </c>
      <c r="I275" s="9" t="s">
        <v>1052</v>
      </c>
    </row>
    <row r="276" customFormat="false" ht="23.85" hidden="false" customHeight="false" outlineLevel="0" collapsed="false">
      <c r="A276" s="9" t="s">
        <v>13</v>
      </c>
      <c r="B276" s="9" t="s">
        <v>1046</v>
      </c>
      <c r="C276" s="9" t="s">
        <v>1047</v>
      </c>
      <c r="D276" s="9" t="s">
        <v>1057</v>
      </c>
      <c r="E276" s="9" t="s">
        <v>270</v>
      </c>
      <c r="F276" s="9" t="s">
        <v>1058</v>
      </c>
      <c r="G276" s="9" t="s">
        <v>1059</v>
      </c>
      <c r="H276" s="9" t="s">
        <v>5</v>
      </c>
      <c r="I276" s="9" t="s">
        <v>1052</v>
      </c>
    </row>
    <row r="277" customFormat="false" ht="23.85" hidden="false" customHeight="false" outlineLevel="0" collapsed="false">
      <c r="A277" s="9" t="s">
        <v>13</v>
      </c>
      <c r="B277" s="9" t="s">
        <v>1046</v>
      </c>
      <c r="C277" s="9" t="s">
        <v>1047</v>
      </c>
      <c r="D277" s="9" t="s">
        <v>1060</v>
      </c>
      <c r="E277" s="9" t="s">
        <v>1061</v>
      </c>
      <c r="F277" s="9" t="s">
        <v>1062</v>
      </c>
      <c r="G277" s="9" t="s">
        <v>1063</v>
      </c>
      <c r="H277" s="9" t="s">
        <v>5</v>
      </c>
      <c r="I277" s="9" t="s">
        <v>1052</v>
      </c>
    </row>
    <row r="278" customFormat="false" ht="23.85" hidden="false" customHeight="false" outlineLevel="0" collapsed="false">
      <c r="A278" s="9" t="s">
        <v>13</v>
      </c>
      <c r="B278" s="9" t="s">
        <v>1046</v>
      </c>
      <c r="C278" s="9" t="s">
        <v>1047</v>
      </c>
      <c r="D278" s="9" t="s">
        <v>1064</v>
      </c>
      <c r="E278" s="9" t="s">
        <v>1065</v>
      </c>
      <c r="F278" s="9" t="s">
        <v>1066</v>
      </c>
      <c r="G278" s="9" t="s">
        <v>1067</v>
      </c>
      <c r="H278" s="9" t="s">
        <v>5</v>
      </c>
      <c r="I278" s="9" t="s">
        <v>1052</v>
      </c>
    </row>
    <row r="279" customFormat="false" ht="23.85" hidden="false" customHeight="false" outlineLevel="0" collapsed="false">
      <c r="A279" s="9" t="s">
        <v>13</v>
      </c>
      <c r="B279" s="9" t="s">
        <v>1046</v>
      </c>
      <c r="C279" s="9" t="s">
        <v>1047</v>
      </c>
      <c r="D279" s="9" t="s">
        <v>1068</v>
      </c>
      <c r="E279" s="9" t="s">
        <v>1069</v>
      </c>
      <c r="F279" s="9" t="s">
        <v>1070</v>
      </c>
      <c r="G279" s="9" t="s">
        <v>1071</v>
      </c>
      <c r="H279" s="9" t="s">
        <v>6</v>
      </c>
      <c r="I279" s="9" t="s">
        <v>606</v>
      </c>
    </row>
    <row r="280" customFormat="false" ht="23.85" hidden="false" customHeight="false" outlineLevel="0" collapsed="false">
      <c r="A280" s="9" t="s">
        <v>13</v>
      </c>
      <c r="B280" s="9" t="s">
        <v>1046</v>
      </c>
      <c r="C280" s="9" t="s">
        <v>1047</v>
      </c>
      <c r="D280" s="9" t="s">
        <v>1072</v>
      </c>
      <c r="E280" s="9" t="s">
        <v>1073</v>
      </c>
      <c r="F280" s="9" t="s">
        <v>1074</v>
      </c>
      <c r="G280" s="9" t="s">
        <v>1071</v>
      </c>
      <c r="H280" s="9" t="s">
        <v>6</v>
      </c>
      <c r="I280" s="9" t="s">
        <v>606</v>
      </c>
    </row>
    <row r="281" customFormat="false" ht="23.85" hidden="false" customHeight="false" outlineLevel="0" collapsed="false">
      <c r="A281" s="9" t="s">
        <v>13</v>
      </c>
      <c r="B281" s="9" t="s">
        <v>1046</v>
      </c>
      <c r="C281" s="9" t="s">
        <v>1047</v>
      </c>
      <c r="D281" s="9" t="s">
        <v>1075</v>
      </c>
      <c r="E281" s="9" t="s">
        <v>1076</v>
      </c>
      <c r="F281" s="9" t="s">
        <v>1077</v>
      </c>
      <c r="G281" s="9" t="s">
        <v>1078</v>
      </c>
      <c r="H281" s="9" t="s">
        <v>5</v>
      </c>
      <c r="I281" s="9" t="s">
        <v>1052</v>
      </c>
    </row>
    <row r="282" customFormat="false" ht="23.85" hidden="false" customHeight="false" outlineLevel="0" collapsed="false">
      <c r="A282" s="9" t="s">
        <v>13</v>
      </c>
      <c r="B282" s="9" t="s">
        <v>1079</v>
      </c>
      <c r="C282" s="9" t="s">
        <v>1080</v>
      </c>
      <c r="D282" s="9" t="s">
        <v>1081</v>
      </c>
      <c r="E282" s="9" t="s">
        <v>1082</v>
      </c>
      <c r="F282" s="9" t="s">
        <v>1083</v>
      </c>
      <c r="G282" s="9" t="s">
        <v>1084</v>
      </c>
      <c r="H282" s="9" t="s">
        <v>5</v>
      </c>
      <c r="I282" s="9" t="s">
        <v>1052</v>
      </c>
    </row>
    <row r="283" customFormat="false" ht="35.05" hidden="false" customHeight="false" outlineLevel="0" collapsed="false">
      <c r="A283" s="9" t="s">
        <v>13</v>
      </c>
      <c r="B283" s="9" t="s">
        <v>1079</v>
      </c>
      <c r="C283" s="9" t="s">
        <v>1080</v>
      </c>
      <c r="D283" s="9" t="s">
        <v>1085</v>
      </c>
      <c r="E283" s="9" t="s">
        <v>1086</v>
      </c>
      <c r="F283" s="9" t="s">
        <v>1087</v>
      </c>
      <c r="G283" s="9" t="s">
        <v>1084</v>
      </c>
      <c r="H283" s="9" t="s">
        <v>5</v>
      </c>
      <c r="I283" s="9" t="s">
        <v>1052</v>
      </c>
    </row>
    <row r="284" customFormat="false" ht="23.85" hidden="false" customHeight="false" outlineLevel="0" collapsed="false">
      <c r="A284" s="9" t="s">
        <v>13</v>
      </c>
      <c r="B284" s="9" t="s">
        <v>1079</v>
      </c>
      <c r="C284" s="9" t="s">
        <v>1080</v>
      </c>
      <c r="D284" s="9" t="s">
        <v>1088</v>
      </c>
      <c r="E284" s="9" t="s">
        <v>1089</v>
      </c>
      <c r="F284" s="9" t="s">
        <v>1090</v>
      </c>
      <c r="G284" s="9" t="s">
        <v>1084</v>
      </c>
      <c r="H284" s="9" t="s">
        <v>5</v>
      </c>
      <c r="I284" s="9" t="s">
        <v>1052</v>
      </c>
    </row>
    <row r="285" customFormat="false" ht="23.85" hidden="false" customHeight="false" outlineLevel="0" collapsed="false">
      <c r="A285" s="9" t="s">
        <v>13</v>
      </c>
      <c r="B285" s="9" t="s">
        <v>1079</v>
      </c>
      <c r="C285" s="9" t="s">
        <v>1080</v>
      </c>
      <c r="D285" s="9" t="s">
        <v>1091</v>
      </c>
      <c r="E285" s="9" t="s">
        <v>1092</v>
      </c>
      <c r="F285" s="9" t="s">
        <v>1093</v>
      </c>
      <c r="G285" s="9" t="s">
        <v>1084</v>
      </c>
      <c r="H285" s="9" t="s">
        <v>5</v>
      </c>
      <c r="I285" s="9" t="s">
        <v>1052</v>
      </c>
    </row>
    <row r="286" customFormat="false" ht="23.85" hidden="false" customHeight="false" outlineLevel="0" collapsed="false">
      <c r="A286" s="9" t="s">
        <v>13</v>
      </c>
      <c r="B286" s="9" t="s">
        <v>1079</v>
      </c>
      <c r="C286" s="9" t="s">
        <v>1080</v>
      </c>
      <c r="D286" s="9" t="s">
        <v>1094</v>
      </c>
      <c r="E286" s="9" t="s">
        <v>1095</v>
      </c>
      <c r="F286" s="9" t="s">
        <v>1096</v>
      </c>
      <c r="G286" s="9" t="s">
        <v>1084</v>
      </c>
      <c r="H286" s="9" t="s">
        <v>5</v>
      </c>
      <c r="I286" s="9" t="s">
        <v>1052</v>
      </c>
    </row>
    <row r="287" customFormat="false" ht="23.85" hidden="false" customHeight="false" outlineLevel="0" collapsed="false">
      <c r="A287" s="9" t="s">
        <v>13</v>
      </c>
      <c r="B287" s="9" t="s">
        <v>1079</v>
      </c>
      <c r="C287" s="9" t="s">
        <v>1080</v>
      </c>
      <c r="D287" s="9" t="s">
        <v>1097</v>
      </c>
      <c r="E287" s="9" t="s">
        <v>1098</v>
      </c>
      <c r="F287" s="9" t="s">
        <v>1099</v>
      </c>
      <c r="G287" s="9" t="s">
        <v>1084</v>
      </c>
      <c r="H287" s="9" t="s">
        <v>5</v>
      </c>
      <c r="I287" s="9" t="s">
        <v>1052</v>
      </c>
    </row>
    <row r="288" customFormat="false" ht="35.05" hidden="false" customHeight="false" outlineLevel="0" collapsed="false">
      <c r="A288" s="9" t="s">
        <v>13</v>
      </c>
      <c r="B288" s="9" t="s">
        <v>1079</v>
      </c>
      <c r="C288" s="9" t="s">
        <v>1080</v>
      </c>
      <c r="D288" s="9" t="s">
        <v>1100</v>
      </c>
      <c r="E288" s="9" t="s">
        <v>1101</v>
      </c>
      <c r="F288" s="9" t="s">
        <v>1102</v>
      </c>
      <c r="G288" s="9" t="s">
        <v>1084</v>
      </c>
      <c r="H288" s="9" t="s">
        <v>5</v>
      </c>
      <c r="I288" s="9" t="s">
        <v>1052</v>
      </c>
    </row>
    <row r="289" customFormat="false" ht="35.05" hidden="false" customHeight="false" outlineLevel="0" collapsed="false">
      <c r="A289" s="9" t="s">
        <v>13</v>
      </c>
      <c r="B289" s="9" t="s">
        <v>1103</v>
      </c>
      <c r="C289" s="9" t="s">
        <v>1104</v>
      </c>
      <c r="D289" s="9" t="s">
        <v>1105</v>
      </c>
      <c r="E289" s="9" t="s">
        <v>1106</v>
      </c>
      <c r="F289" s="9" t="s">
        <v>1107</v>
      </c>
      <c r="G289" s="9" t="s">
        <v>1108</v>
      </c>
      <c r="H289" s="9" t="s">
        <v>5</v>
      </c>
      <c r="I289" s="9" t="s">
        <v>1052</v>
      </c>
    </row>
    <row r="290" customFormat="false" ht="23.85" hidden="false" customHeight="false" outlineLevel="0" collapsed="false">
      <c r="A290" s="9" t="s">
        <v>13</v>
      </c>
      <c r="B290" s="9" t="s">
        <v>1103</v>
      </c>
      <c r="C290" s="9" t="s">
        <v>1104</v>
      </c>
      <c r="D290" s="9" t="s">
        <v>1109</v>
      </c>
      <c r="E290" s="9" t="s">
        <v>1110</v>
      </c>
      <c r="F290" s="9" t="s">
        <v>1111</v>
      </c>
      <c r="G290" s="9" t="s">
        <v>1108</v>
      </c>
      <c r="H290" s="9" t="s">
        <v>5</v>
      </c>
      <c r="I290" s="9" t="s">
        <v>1052</v>
      </c>
    </row>
    <row r="291" customFormat="false" ht="35.05" hidden="false" customHeight="false" outlineLevel="0" collapsed="false">
      <c r="A291" s="9" t="s">
        <v>13</v>
      </c>
      <c r="B291" s="9" t="s">
        <v>1103</v>
      </c>
      <c r="C291" s="9" t="s">
        <v>1104</v>
      </c>
      <c r="D291" s="9" t="s">
        <v>1112</v>
      </c>
      <c r="E291" s="9" t="s">
        <v>1113</v>
      </c>
      <c r="F291" s="9" t="s">
        <v>1114</v>
      </c>
      <c r="G291" s="9" t="s">
        <v>1108</v>
      </c>
      <c r="H291" s="9" t="s">
        <v>5</v>
      </c>
      <c r="I291" s="9" t="s">
        <v>1052</v>
      </c>
    </row>
    <row r="292" customFormat="false" ht="23.85" hidden="false" customHeight="false" outlineLevel="0" collapsed="false">
      <c r="A292" s="9" t="s">
        <v>13</v>
      </c>
      <c r="B292" s="9" t="s">
        <v>1103</v>
      </c>
      <c r="C292" s="9" t="s">
        <v>1104</v>
      </c>
      <c r="D292" s="9" t="s">
        <v>1115</v>
      </c>
      <c r="E292" s="9" t="s">
        <v>1116</v>
      </c>
      <c r="F292" s="9" t="s">
        <v>1117</v>
      </c>
      <c r="G292" s="9" t="s">
        <v>1108</v>
      </c>
      <c r="H292" s="9" t="s">
        <v>5</v>
      </c>
      <c r="I292" s="9" t="s">
        <v>1052</v>
      </c>
    </row>
    <row r="293" customFormat="false" ht="35.05" hidden="false" customHeight="false" outlineLevel="0" collapsed="false">
      <c r="A293" s="9" t="s">
        <v>13</v>
      </c>
      <c r="B293" s="9" t="s">
        <v>1103</v>
      </c>
      <c r="C293" s="9" t="s">
        <v>1104</v>
      </c>
      <c r="D293" s="9" t="s">
        <v>1118</v>
      </c>
      <c r="E293" s="9" t="s">
        <v>1119</v>
      </c>
      <c r="F293" s="9" t="s">
        <v>1120</v>
      </c>
      <c r="G293" s="9" t="s">
        <v>1121</v>
      </c>
      <c r="H293" s="9" t="s">
        <v>6</v>
      </c>
      <c r="I293" s="9" t="s">
        <v>606</v>
      </c>
    </row>
    <row r="294" customFormat="false" ht="23.85" hidden="false" customHeight="false" outlineLevel="0" collapsed="false">
      <c r="A294" s="9" t="s">
        <v>13</v>
      </c>
      <c r="B294" s="9" t="s">
        <v>1103</v>
      </c>
      <c r="C294" s="9" t="s">
        <v>1104</v>
      </c>
      <c r="D294" s="9" t="s">
        <v>1122</v>
      </c>
      <c r="E294" s="9" t="s">
        <v>1123</v>
      </c>
      <c r="F294" s="9" t="s">
        <v>1124</v>
      </c>
      <c r="G294" s="9" t="s">
        <v>321</v>
      </c>
      <c r="H294" s="9" t="s">
        <v>6</v>
      </c>
      <c r="I294" s="9" t="s">
        <v>606</v>
      </c>
    </row>
    <row r="295" customFormat="false" ht="23.85" hidden="false" customHeight="false" outlineLevel="0" collapsed="false">
      <c r="A295" s="9" t="s">
        <v>13</v>
      </c>
      <c r="B295" s="9" t="s">
        <v>1103</v>
      </c>
      <c r="C295" s="9" t="s">
        <v>1104</v>
      </c>
      <c r="D295" s="9" t="s">
        <v>1125</v>
      </c>
      <c r="E295" s="9" t="s">
        <v>1126</v>
      </c>
      <c r="F295" s="9" t="s">
        <v>1127</v>
      </c>
      <c r="G295" s="9" t="s">
        <v>1108</v>
      </c>
      <c r="H295" s="9" t="s">
        <v>5</v>
      </c>
      <c r="I295" s="9" t="s">
        <v>1052</v>
      </c>
    </row>
    <row r="296" customFormat="false" ht="23.85" hidden="false" customHeight="false" outlineLevel="0" collapsed="false">
      <c r="A296" s="9" t="s">
        <v>13</v>
      </c>
      <c r="B296" s="9" t="s">
        <v>1103</v>
      </c>
      <c r="C296" s="9" t="s">
        <v>1104</v>
      </c>
      <c r="D296" s="9" t="s">
        <v>1128</v>
      </c>
      <c r="E296" s="9" t="s">
        <v>1129</v>
      </c>
      <c r="F296" s="9" t="s">
        <v>1130</v>
      </c>
      <c r="G296" s="9" t="s">
        <v>1108</v>
      </c>
      <c r="H296" s="9" t="s">
        <v>5</v>
      </c>
      <c r="I296" s="9" t="s">
        <v>1052</v>
      </c>
    </row>
    <row r="297" customFormat="false" ht="23.85" hidden="false" customHeight="false" outlineLevel="0" collapsed="false">
      <c r="A297" s="9" t="s">
        <v>13</v>
      </c>
      <c r="B297" s="9" t="s">
        <v>1131</v>
      </c>
      <c r="C297" s="9" t="s">
        <v>1132</v>
      </c>
      <c r="D297" s="9" t="s">
        <v>1133</v>
      </c>
      <c r="E297" s="9" t="s">
        <v>1134</v>
      </c>
      <c r="F297" s="9" t="s">
        <v>1135</v>
      </c>
      <c r="G297" s="9" t="s">
        <v>1136</v>
      </c>
      <c r="H297" s="9" t="s">
        <v>5</v>
      </c>
      <c r="I297" s="9" t="s">
        <v>1052</v>
      </c>
    </row>
    <row r="298" customFormat="false" ht="23.85" hidden="false" customHeight="false" outlineLevel="0" collapsed="false">
      <c r="A298" s="9" t="s">
        <v>13</v>
      </c>
      <c r="B298" s="9" t="s">
        <v>1131</v>
      </c>
      <c r="C298" s="9" t="s">
        <v>1132</v>
      </c>
      <c r="D298" s="9" t="s">
        <v>1137</v>
      </c>
      <c r="E298" s="9" t="s">
        <v>1138</v>
      </c>
      <c r="F298" s="9" t="s">
        <v>1139</v>
      </c>
      <c r="G298" s="9" t="s">
        <v>1136</v>
      </c>
      <c r="H298" s="9" t="s">
        <v>5</v>
      </c>
      <c r="I298" s="9" t="s">
        <v>1052</v>
      </c>
    </row>
    <row r="299" customFormat="false" ht="23.85" hidden="false" customHeight="false" outlineLevel="0" collapsed="false">
      <c r="A299" s="9" t="s">
        <v>13</v>
      </c>
      <c r="B299" s="9" t="s">
        <v>1131</v>
      </c>
      <c r="C299" s="9" t="s">
        <v>1132</v>
      </c>
      <c r="D299" s="9" t="s">
        <v>1140</v>
      </c>
      <c r="E299" s="9" t="s">
        <v>1141</v>
      </c>
      <c r="F299" s="9" t="s">
        <v>1142</v>
      </c>
      <c r="G299" s="9" t="s">
        <v>1136</v>
      </c>
      <c r="H299" s="9" t="s">
        <v>5</v>
      </c>
      <c r="I299" s="9" t="s">
        <v>1052</v>
      </c>
    </row>
    <row r="300" customFormat="false" ht="35.05" hidden="false" customHeight="false" outlineLevel="0" collapsed="false">
      <c r="A300" s="9" t="s">
        <v>13</v>
      </c>
      <c r="B300" s="9" t="s">
        <v>1131</v>
      </c>
      <c r="C300" s="9" t="s">
        <v>1132</v>
      </c>
      <c r="D300" s="9" t="s">
        <v>1143</v>
      </c>
      <c r="E300" s="9" t="s">
        <v>1144</v>
      </c>
      <c r="F300" s="9" t="s">
        <v>1145</v>
      </c>
      <c r="G300" s="9" t="s">
        <v>1136</v>
      </c>
      <c r="H300" s="9" t="s">
        <v>5</v>
      </c>
      <c r="I300" s="9" t="s">
        <v>1052</v>
      </c>
    </row>
    <row r="301" customFormat="false" ht="23.85" hidden="false" customHeight="false" outlineLevel="0" collapsed="false">
      <c r="A301" s="9" t="s">
        <v>13</v>
      </c>
      <c r="B301" s="9" t="s">
        <v>1131</v>
      </c>
      <c r="C301" s="9" t="s">
        <v>1132</v>
      </c>
      <c r="D301" s="9" t="s">
        <v>1146</v>
      </c>
      <c r="E301" s="9" t="s">
        <v>1147</v>
      </c>
      <c r="F301" s="9" t="s">
        <v>1148</v>
      </c>
      <c r="G301" s="9" t="s">
        <v>1136</v>
      </c>
      <c r="H301" s="9" t="s">
        <v>5</v>
      </c>
      <c r="I301" s="9" t="s">
        <v>1052</v>
      </c>
    </row>
    <row r="302" customFormat="false" ht="46.25" hidden="false" customHeight="false" outlineLevel="0" collapsed="false">
      <c r="A302" s="9" t="s">
        <v>13</v>
      </c>
      <c r="B302" s="9" t="s">
        <v>1131</v>
      </c>
      <c r="C302" s="9" t="s">
        <v>1132</v>
      </c>
      <c r="D302" s="9" t="s">
        <v>1149</v>
      </c>
      <c r="E302" s="9" t="s">
        <v>1150</v>
      </c>
      <c r="F302" s="9" t="s">
        <v>1151</v>
      </c>
      <c r="G302" s="9" t="s">
        <v>1136</v>
      </c>
      <c r="H302" s="9" t="s">
        <v>5</v>
      </c>
      <c r="I302" s="9" t="s">
        <v>1052</v>
      </c>
    </row>
    <row r="303" customFormat="false" ht="23.85" hidden="false" customHeight="false" outlineLevel="0" collapsed="false">
      <c r="A303" s="9" t="s">
        <v>13</v>
      </c>
      <c r="B303" s="9" t="s">
        <v>1131</v>
      </c>
      <c r="C303" s="9" t="s">
        <v>1132</v>
      </c>
      <c r="D303" s="9" t="s">
        <v>1152</v>
      </c>
      <c r="E303" s="9" t="s">
        <v>1153</v>
      </c>
      <c r="F303" s="9" t="s">
        <v>1154</v>
      </c>
      <c r="G303" s="9" t="s">
        <v>1136</v>
      </c>
      <c r="H303" s="9" t="s">
        <v>5</v>
      </c>
      <c r="I303" s="9" t="s">
        <v>1052</v>
      </c>
    </row>
    <row r="304" customFormat="false" ht="23.85" hidden="false" customHeight="false" outlineLevel="0" collapsed="false">
      <c r="A304" s="9" t="s">
        <v>13</v>
      </c>
      <c r="B304" s="9" t="s">
        <v>1131</v>
      </c>
      <c r="C304" s="9" t="s">
        <v>1132</v>
      </c>
      <c r="D304" s="9" t="s">
        <v>1155</v>
      </c>
      <c r="E304" s="9" t="s">
        <v>1156</v>
      </c>
      <c r="F304" s="9" t="s">
        <v>1157</v>
      </c>
      <c r="G304" s="9" t="s">
        <v>1136</v>
      </c>
      <c r="H304" s="9" t="s">
        <v>5</v>
      </c>
      <c r="I304" s="9" t="s">
        <v>1052</v>
      </c>
    </row>
    <row r="305" customFormat="false" ht="35.05" hidden="false" customHeight="false" outlineLevel="0" collapsed="false">
      <c r="A305" s="9" t="s">
        <v>13</v>
      </c>
      <c r="B305" s="9" t="s">
        <v>1131</v>
      </c>
      <c r="C305" s="9" t="s">
        <v>1132</v>
      </c>
      <c r="D305" s="9" t="s">
        <v>1158</v>
      </c>
      <c r="E305" s="9" t="s">
        <v>1159</v>
      </c>
      <c r="F305" s="9" t="s">
        <v>1160</v>
      </c>
      <c r="G305" s="9" t="s">
        <v>1136</v>
      </c>
      <c r="H305" s="9" t="s">
        <v>5</v>
      </c>
      <c r="I305" s="9" t="s">
        <v>1052</v>
      </c>
    </row>
    <row r="306" customFormat="false" ht="23.85" hidden="false" customHeight="false" outlineLevel="0" collapsed="false">
      <c r="A306" s="9" t="s">
        <v>13</v>
      </c>
      <c r="B306" s="9" t="s">
        <v>1161</v>
      </c>
      <c r="C306" s="9" t="s">
        <v>1162</v>
      </c>
      <c r="D306" s="9" t="s">
        <v>1163</v>
      </c>
      <c r="E306" s="9" t="s">
        <v>1164</v>
      </c>
      <c r="F306" s="9" t="s">
        <v>1165</v>
      </c>
      <c r="G306" s="9" t="s">
        <v>1166</v>
      </c>
      <c r="H306" s="9" t="s">
        <v>5</v>
      </c>
      <c r="I306" s="9" t="s">
        <v>1052</v>
      </c>
    </row>
    <row r="307" customFormat="false" ht="23.85" hidden="false" customHeight="false" outlineLevel="0" collapsed="false">
      <c r="A307" s="9" t="s">
        <v>13</v>
      </c>
      <c r="B307" s="9" t="s">
        <v>1161</v>
      </c>
      <c r="C307" s="9" t="s">
        <v>1162</v>
      </c>
      <c r="D307" s="9" t="s">
        <v>1167</v>
      </c>
      <c r="E307" s="9" t="s">
        <v>1168</v>
      </c>
      <c r="F307" s="9" t="s">
        <v>1169</v>
      </c>
      <c r="G307" s="9" t="s">
        <v>1166</v>
      </c>
      <c r="H307" s="9" t="s">
        <v>5</v>
      </c>
      <c r="I307" s="9" t="s">
        <v>1052</v>
      </c>
    </row>
    <row r="308" customFormat="false" ht="23.85" hidden="false" customHeight="false" outlineLevel="0" collapsed="false">
      <c r="A308" s="9" t="s">
        <v>13</v>
      </c>
      <c r="B308" s="9" t="s">
        <v>1161</v>
      </c>
      <c r="C308" s="9" t="s">
        <v>1162</v>
      </c>
      <c r="D308" s="9" t="s">
        <v>1170</v>
      </c>
      <c r="E308" s="9" t="s">
        <v>1171</v>
      </c>
      <c r="F308" s="9" t="s">
        <v>1172</v>
      </c>
      <c r="G308" s="9" t="s">
        <v>1166</v>
      </c>
      <c r="H308" s="9" t="s">
        <v>5</v>
      </c>
      <c r="I308" s="9" t="s">
        <v>1052</v>
      </c>
    </row>
    <row r="309" customFormat="false" ht="46.25" hidden="false" customHeight="false" outlineLevel="0" collapsed="false">
      <c r="A309" s="9" t="s">
        <v>13</v>
      </c>
      <c r="B309" s="9" t="s">
        <v>1161</v>
      </c>
      <c r="C309" s="9" t="s">
        <v>1162</v>
      </c>
      <c r="D309" s="9" t="s">
        <v>1173</v>
      </c>
      <c r="E309" s="9" t="s">
        <v>1174</v>
      </c>
      <c r="F309" s="9" t="s">
        <v>1175</v>
      </c>
      <c r="G309" s="9" t="s">
        <v>1166</v>
      </c>
      <c r="H309" s="9" t="s">
        <v>5</v>
      </c>
      <c r="I309" s="9" t="s">
        <v>1052</v>
      </c>
    </row>
    <row r="310" customFormat="false" ht="23.85" hidden="false" customHeight="false" outlineLevel="0" collapsed="false">
      <c r="A310" s="9" t="s">
        <v>13</v>
      </c>
      <c r="B310" s="9" t="s">
        <v>1161</v>
      </c>
      <c r="C310" s="9" t="s">
        <v>1162</v>
      </c>
      <c r="D310" s="9" t="s">
        <v>1176</v>
      </c>
      <c r="E310" s="9" t="s">
        <v>1177</v>
      </c>
      <c r="F310" s="9" t="s">
        <v>1178</v>
      </c>
      <c r="G310" s="9" t="s">
        <v>1166</v>
      </c>
      <c r="H310" s="9" t="s">
        <v>5</v>
      </c>
      <c r="I310" s="9" t="s">
        <v>1052</v>
      </c>
    </row>
    <row r="311" customFormat="false" ht="35.05" hidden="false" customHeight="false" outlineLevel="0" collapsed="false">
      <c r="A311" s="9" t="s">
        <v>13</v>
      </c>
      <c r="B311" s="9" t="s">
        <v>1161</v>
      </c>
      <c r="C311" s="9" t="s">
        <v>1162</v>
      </c>
      <c r="D311" s="9" t="s">
        <v>1179</v>
      </c>
      <c r="E311" s="9" t="s">
        <v>1180</v>
      </c>
      <c r="F311" s="9" t="s">
        <v>1181</v>
      </c>
      <c r="G311" s="9" t="s">
        <v>1166</v>
      </c>
      <c r="H311" s="9" t="s">
        <v>5</v>
      </c>
      <c r="I311" s="9" t="s">
        <v>1052</v>
      </c>
    </row>
    <row r="312" customFormat="false" ht="35.05" hidden="false" customHeight="false" outlineLevel="0" collapsed="false">
      <c r="A312" s="9" t="s">
        <v>13</v>
      </c>
      <c r="B312" s="9" t="s">
        <v>1161</v>
      </c>
      <c r="C312" s="9" t="s">
        <v>1162</v>
      </c>
      <c r="D312" s="9" t="s">
        <v>1182</v>
      </c>
      <c r="E312" s="9" t="s">
        <v>1183</v>
      </c>
      <c r="F312" s="9" t="s">
        <v>1184</v>
      </c>
      <c r="G312" s="9" t="s">
        <v>1166</v>
      </c>
      <c r="H312" s="9" t="s">
        <v>5</v>
      </c>
      <c r="I312" s="9" t="s">
        <v>1052</v>
      </c>
    </row>
    <row r="313" customFormat="false" ht="46.25" hidden="false" customHeight="false" outlineLevel="0" collapsed="false">
      <c r="A313" s="9" t="s">
        <v>13</v>
      </c>
      <c r="B313" s="9" t="s">
        <v>1185</v>
      </c>
      <c r="C313" s="9" t="s">
        <v>1186</v>
      </c>
      <c r="D313" s="9" t="s">
        <v>1187</v>
      </c>
      <c r="E313" s="9" t="s">
        <v>1188</v>
      </c>
      <c r="F313" s="9" t="s">
        <v>1189</v>
      </c>
      <c r="G313" s="9" t="s">
        <v>1190</v>
      </c>
      <c r="H313" s="9" t="s">
        <v>5</v>
      </c>
      <c r="I313" s="9" t="s">
        <v>1052</v>
      </c>
    </row>
    <row r="314" customFormat="false" ht="35.05" hidden="false" customHeight="false" outlineLevel="0" collapsed="false">
      <c r="A314" s="9" t="s">
        <v>13</v>
      </c>
      <c r="B314" s="9" t="s">
        <v>1185</v>
      </c>
      <c r="C314" s="9" t="s">
        <v>1186</v>
      </c>
      <c r="D314" s="9" t="s">
        <v>1191</v>
      </c>
      <c r="E314" s="9" t="s">
        <v>1192</v>
      </c>
      <c r="F314" s="9" t="s">
        <v>1193</v>
      </c>
      <c r="G314" s="9" t="s">
        <v>1190</v>
      </c>
      <c r="H314" s="9" t="s">
        <v>5</v>
      </c>
      <c r="I314" s="9" t="s">
        <v>1052</v>
      </c>
    </row>
    <row r="315" customFormat="false" ht="46.25" hidden="false" customHeight="false" outlineLevel="0" collapsed="false">
      <c r="A315" s="9" t="s">
        <v>13</v>
      </c>
      <c r="B315" s="9" t="s">
        <v>1185</v>
      </c>
      <c r="C315" s="9" t="s">
        <v>1186</v>
      </c>
      <c r="D315" s="9" t="s">
        <v>1194</v>
      </c>
      <c r="E315" s="9" t="s">
        <v>1195</v>
      </c>
      <c r="F315" s="9" t="s">
        <v>1196</v>
      </c>
      <c r="G315" s="9" t="s">
        <v>1190</v>
      </c>
      <c r="H315" s="9" t="s">
        <v>5</v>
      </c>
      <c r="I315" s="9" t="s">
        <v>1052</v>
      </c>
    </row>
    <row r="316" customFormat="false" ht="23.85" hidden="false" customHeight="false" outlineLevel="0" collapsed="false">
      <c r="A316" s="9" t="s">
        <v>13</v>
      </c>
      <c r="B316" s="9" t="s">
        <v>1185</v>
      </c>
      <c r="C316" s="9" t="s">
        <v>1186</v>
      </c>
      <c r="D316" s="9" t="s">
        <v>1197</v>
      </c>
      <c r="E316" s="9" t="s">
        <v>1198</v>
      </c>
      <c r="F316" s="9" t="s">
        <v>1199</v>
      </c>
      <c r="G316" s="9" t="s">
        <v>1190</v>
      </c>
      <c r="H316" s="9" t="s">
        <v>5</v>
      </c>
      <c r="I316" s="9" t="s">
        <v>1052</v>
      </c>
    </row>
    <row r="317" customFormat="false" ht="23.85" hidden="false" customHeight="false" outlineLevel="0" collapsed="false">
      <c r="A317" s="9" t="s">
        <v>13</v>
      </c>
      <c r="B317" s="9" t="s">
        <v>1185</v>
      </c>
      <c r="C317" s="9" t="s">
        <v>1186</v>
      </c>
      <c r="D317" s="9" t="s">
        <v>1200</v>
      </c>
      <c r="E317" s="9" t="s">
        <v>1201</v>
      </c>
      <c r="F317" s="9" t="s">
        <v>1202</v>
      </c>
      <c r="G317" s="9" t="s">
        <v>1190</v>
      </c>
      <c r="H317" s="9" t="s">
        <v>5</v>
      </c>
      <c r="I317" s="9" t="s">
        <v>1052</v>
      </c>
    </row>
    <row r="318" customFormat="false" ht="23.85" hidden="false" customHeight="false" outlineLevel="0" collapsed="false">
      <c r="A318" s="9" t="s">
        <v>13</v>
      </c>
      <c r="B318" s="9" t="s">
        <v>1185</v>
      </c>
      <c r="C318" s="9" t="s">
        <v>1186</v>
      </c>
      <c r="D318" s="9" t="s">
        <v>1203</v>
      </c>
      <c r="E318" s="9" t="s">
        <v>1204</v>
      </c>
      <c r="F318" s="9" t="s">
        <v>1205</v>
      </c>
      <c r="G318" s="9" t="s">
        <v>1206</v>
      </c>
      <c r="H318" s="9" t="s">
        <v>6</v>
      </c>
      <c r="I318" s="9" t="s">
        <v>606</v>
      </c>
    </row>
    <row r="319" customFormat="false" ht="23.85" hidden="false" customHeight="false" outlineLevel="0" collapsed="false">
      <c r="A319" s="9" t="s">
        <v>13</v>
      </c>
      <c r="B319" s="9" t="s">
        <v>1185</v>
      </c>
      <c r="C319" s="9" t="s">
        <v>1186</v>
      </c>
      <c r="D319" s="9" t="s">
        <v>1207</v>
      </c>
      <c r="E319" s="9" t="s">
        <v>1208</v>
      </c>
      <c r="F319" s="9" t="s">
        <v>1209</v>
      </c>
      <c r="G319" s="9" t="s">
        <v>1190</v>
      </c>
      <c r="H319" s="9" t="s">
        <v>5</v>
      </c>
      <c r="I319" s="9" t="s">
        <v>1052</v>
      </c>
    </row>
    <row r="320" customFormat="false" ht="35.05" hidden="false" customHeight="false" outlineLevel="0" collapsed="false">
      <c r="A320" s="9" t="s">
        <v>13</v>
      </c>
      <c r="B320" s="9" t="s">
        <v>1210</v>
      </c>
      <c r="C320" s="9" t="s">
        <v>1211</v>
      </c>
      <c r="D320" s="9" t="s">
        <v>1212</v>
      </c>
      <c r="E320" s="9" t="s">
        <v>1213</v>
      </c>
      <c r="F320" s="9" t="s">
        <v>1214</v>
      </c>
      <c r="G320" s="9" t="s">
        <v>1215</v>
      </c>
      <c r="H320" s="9" t="s">
        <v>5</v>
      </c>
      <c r="I320" s="9" t="s">
        <v>1052</v>
      </c>
    </row>
    <row r="321" customFormat="false" ht="23.85" hidden="false" customHeight="false" outlineLevel="0" collapsed="false">
      <c r="A321" s="9" t="s">
        <v>13</v>
      </c>
      <c r="B321" s="9" t="s">
        <v>1210</v>
      </c>
      <c r="C321" s="9" t="s">
        <v>1211</v>
      </c>
      <c r="D321" s="9" t="s">
        <v>1216</v>
      </c>
      <c r="E321" s="9" t="s">
        <v>1217</v>
      </c>
      <c r="F321" s="9" t="s">
        <v>1218</v>
      </c>
      <c r="G321" s="9" t="s">
        <v>1215</v>
      </c>
      <c r="H321" s="9" t="s">
        <v>5</v>
      </c>
      <c r="I321" s="9" t="s">
        <v>1052</v>
      </c>
    </row>
    <row r="322" customFormat="false" ht="23.85" hidden="false" customHeight="false" outlineLevel="0" collapsed="false">
      <c r="A322" s="9" t="s">
        <v>13</v>
      </c>
      <c r="B322" s="9" t="s">
        <v>1210</v>
      </c>
      <c r="C322" s="9" t="s">
        <v>1211</v>
      </c>
      <c r="D322" s="9" t="s">
        <v>1219</v>
      </c>
      <c r="E322" s="9" t="s">
        <v>1220</v>
      </c>
      <c r="F322" s="9" t="s">
        <v>1221</v>
      </c>
      <c r="G322" s="9" t="s">
        <v>1215</v>
      </c>
      <c r="H322" s="9" t="s">
        <v>5</v>
      </c>
      <c r="I322" s="9" t="s">
        <v>1052</v>
      </c>
    </row>
    <row r="323" customFormat="false" ht="23.85" hidden="false" customHeight="false" outlineLevel="0" collapsed="false">
      <c r="A323" s="9" t="s">
        <v>13</v>
      </c>
      <c r="B323" s="9" t="s">
        <v>1210</v>
      </c>
      <c r="C323" s="9" t="s">
        <v>1211</v>
      </c>
      <c r="D323" s="9" t="s">
        <v>1222</v>
      </c>
      <c r="E323" s="9" t="s">
        <v>1223</v>
      </c>
      <c r="F323" s="9" t="s">
        <v>1224</v>
      </c>
      <c r="G323" s="9" t="s">
        <v>1215</v>
      </c>
      <c r="H323" s="9" t="s">
        <v>5</v>
      </c>
      <c r="I323" s="9" t="s">
        <v>1052</v>
      </c>
    </row>
    <row r="324" customFormat="false" ht="23.85" hidden="false" customHeight="false" outlineLevel="0" collapsed="false">
      <c r="A324" s="9" t="s">
        <v>13</v>
      </c>
      <c r="B324" s="9" t="s">
        <v>1210</v>
      </c>
      <c r="C324" s="9" t="s">
        <v>1211</v>
      </c>
      <c r="D324" s="9" t="s">
        <v>1225</v>
      </c>
      <c r="E324" s="9" t="s">
        <v>1226</v>
      </c>
      <c r="F324" s="9" t="s">
        <v>1074</v>
      </c>
      <c r="G324" s="9" t="s">
        <v>1227</v>
      </c>
      <c r="H324" s="9" t="s">
        <v>6</v>
      </c>
      <c r="I324" s="9" t="s">
        <v>606</v>
      </c>
    </row>
    <row r="325" customFormat="false" ht="23.85" hidden="false" customHeight="false" outlineLevel="0" collapsed="false">
      <c r="A325" s="9" t="s">
        <v>13</v>
      </c>
      <c r="B325" s="9" t="s">
        <v>1210</v>
      </c>
      <c r="C325" s="9" t="s">
        <v>1211</v>
      </c>
      <c r="D325" s="9" t="s">
        <v>1228</v>
      </c>
      <c r="E325" s="9" t="s">
        <v>1229</v>
      </c>
      <c r="F325" s="9" t="s">
        <v>1230</v>
      </c>
      <c r="G325" s="9" t="s">
        <v>1215</v>
      </c>
      <c r="H325" s="9" t="s">
        <v>5</v>
      </c>
      <c r="I325" s="9" t="s">
        <v>1052</v>
      </c>
    </row>
    <row r="326" customFormat="false" ht="35.05" hidden="false" customHeight="false" outlineLevel="0" collapsed="false">
      <c r="A326" s="9" t="s">
        <v>14</v>
      </c>
      <c r="B326" s="9" t="s">
        <v>1231</v>
      </c>
      <c r="C326" s="9" t="s">
        <v>1047</v>
      </c>
      <c r="D326" s="9" t="s">
        <v>1232</v>
      </c>
      <c r="E326" s="9" t="s">
        <v>1233</v>
      </c>
      <c r="F326" s="9" t="s">
        <v>1234</v>
      </c>
      <c r="G326" s="9" t="s">
        <v>1235</v>
      </c>
      <c r="H326" s="9" t="s">
        <v>5</v>
      </c>
      <c r="I326" s="9" t="s">
        <v>1236</v>
      </c>
    </row>
    <row r="327" customFormat="false" ht="35.05" hidden="false" customHeight="false" outlineLevel="0" collapsed="false">
      <c r="A327" s="9" t="s">
        <v>14</v>
      </c>
      <c r="B327" s="9" t="s">
        <v>1231</v>
      </c>
      <c r="C327" s="9" t="s">
        <v>1047</v>
      </c>
      <c r="D327" s="9" t="s">
        <v>1237</v>
      </c>
      <c r="E327" s="9" t="s">
        <v>1238</v>
      </c>
      <c r="F327" s="9" t="s">
        <v>1239</v>
      </c>
      <c r="G327" s="9" t="s">
        <v>1240</v>
      </c>
      <c r="H327" s="9" t="s">
        <v>5</v>
      </c>
      <c r="I327" s="9" t="s">
        <v>511</v>
      </c>
    </row>
    <row r="328" customFormat="false" ht="23.85" hidden="false" customHeight="false" outlineLevel="0" collapsed="false">
      <c r="A328" s="9" t="s">
        <v>14</v>
      </c>
      <c r="B328" s="9" t="s">
        <v>1231</v>
      </c>
      <c r="C328" s="9" t="s">
        <v>1047</v>
      </c>
      <c r="D328" s="9" t="s">
        <v>1241</v>
      </c>
      <c r="E328" s="9" t="s">
        <v>1242</v>
      </c>
      <c r="F328" s="9" t="s">
        <v>1243</v>
      </c>
      <c r="G328" s="9" t="s">
        <v>1059</v>
      </c>
      <c r="H328" s="9" t="s">
        <v>5</v>
      </c>
      <c r="I328" s="9" t="s">
        <v>511</v>
      </c>
    </row>
    <row r="329" customFormat="false" ht="23.85" hidden="false" customHeight="false" outlineLevel="0" collapsed="false">
      <c r="A329" s="9" t="s">
        <v>14</v>
      </c>
      <c r="B329" s="9" t="s">
        <v>1231</v>
      </c>
      <c r="C329" s="9" t="s">
        <v>1047</v>
      </c>
      <c r="D329" s="9" t="s">
        <v>1244</v>
      </c>
      <c r="E329" s="9" t="s">
        <v>1061</v>
      </c>
      <c r="F329" s="9" t="s">
        <v>1062</v>
      </c>
      <c r="G329" s="9" t="s">
        <v>1063</v>
      </c>
      <c r="H329" s="9" t="s">
        <v>5</v>
      </c>
      <c r="I329" s="9" t="s">
        <v>511</v>
      </c>
    </row>
    <row r="330" customFormat="false" ht="23.85" hidden="false" customHeight="false" outlineLevel="0" collapsed="false">
      <c r="A330" s="9" t="s">
        <v>14</v>
      </c>
      <c r="B330" s="9" t="s">
        <v>1231</v>
      </c>
      <c r="C330" s="9" t="s">
        <v>1047</v>
      </c>
      <c r="D330" s="9" t="s">
        <v>1245</v>
      </c>
      <c r="E330" s="9" t="s">
        <v>1065</v>
      </c>
      <c r="F330" s="9" t="s">
        <v>1066</v>
      </c>
      <c r="G330" s="9" t="s">
        <v>1246</v>
      </c>
      <c r="H330" s="9" t="s">
        <v>5</v>
      </c>
      <c r="I330" s="9"/>
    </row>
    <row r="331" customFormat="false" ht="35.05" hidden="false" customHeight="false" outlineLevel="0" collapsed="false">
      <c r="A331" s="9" t="s">
        <v>14</v>
      </c>
      <c r="B331" s="9" t="s">
        <v>1231</v>
      </c>
      <c r="C331" s="9" t="s">
        <v>1047</v>
      </c>
      <c r="D331" s="9" t="s">
        <v>1247</v>
      </c>
      <c r="E331" s="9" t="s">
        <v>1248</v>
      </c>
      <c r="F331" s="9" t="s">
        <v>1249</v>
      </c>
      <c r="G331" s="9" t="s">
        <v>1250</v>
      </c>
      <c r="H331" s="9" t="s">
        <v>5</v>
      </c>
      <c r="I331" s="9" t="s">
        <v>511</v>
      </c>
    </row>
    <row r="332" customFormat="false" ht="23.85" hidden="false" customHeight="false" outlineLevel="0" collapsed="false">
      <c r="A332" s="9" t="s">
        <v>14</v>
      </c>
      <c r="B332" s="9" t="s">
        <v>1231</v>
      </c>
      <c r="C332" s="9" t="s">
        <v>1047</v>
      </c>
      <c r="D332" s="9" t="s">
        <v>1251</v>
      </c>
      <c r="E332" s="9" t="s">
        <v>1252</v>
      </c>
      <c r="F332" s="9" t="s">
        <v>1253</v>
      </c>
      <c r="G332" s="9" t="s">
        <v>1254</v>
      </c>
      <c r="H332" s="9" t="s">
        <v>6</v>
      </c>
      <c r="I332" s="9" t="s">
        <v>606</v>
      </c>
    </row>
    <row r="333" customFormat="false" ht="35.05" hidden="false" customHeight="false" outlineLevel="0" collapsed="false">
      <c r="A333" s="9" t="s">
        <v>14</v>
      </c>
      <c r="B333" s="9" t="s">
        <v>1231</v>
      </c>
      <c r="C333" s="9" t="s">
        <v>1047</v>
      </c>
      <c r="D333" s="9" t="s">
        <v>1255</v>
      </c>
      <c r="E333" s="9" t="s">
        <v>1076</v>
      </c>
      <c r="F333" s="9" t="s">
        <v>1256</v>
      </c>
      <c r="G333" s="9" t="s">
        <v>1078</v>
      </c>
      <c r="H333" s="9" t="s">
        <v>5</v>
      </c>
      <c r="I333" s="9"/>
    </row>
    <row r="334" customFormat="false" ht="23.85" hidden="false" customHeight="false" outlineLevel="0" collapsed="false">
      <c r="A334" s="9" t="s">
        <v>14</v>
      </c>
      <c r="B334" s="9" t="s">
        <v>1257</v>
      </c>
      <c r="C334" s="9" t="s">
        <v>1258</v>
      </c>
      <c r="D334" s="9" t="s">
        <v>1259</v>
      </c>
      <c r="E334" s="9" t="s">
        <v>1260</v>
      </c>
      <c r="F334" s="9" t="s">
        <v>1261</v>
      </c>
      <c r="G334" s="9" t="s">
        <v>1262</v>
      </c>
      <c r="H334" s="9" t="s">
        <v>5</v>
      </c>
      <c r="I334" s="9" t="s">
        <v>511</v>
      </c>
    </row>
    <row r="335" customFormat="false" ht="23.85" hidden="false" customHeight="false" outlineLevel="0" collapsed="false">
      <c r="A335" s="9" t="s">
        <v>14</v>
      </c>
      <c r="B335" s="9" t="s">
        <v>1257</v>
      </c>
      <c r="C335" s="9" t="s">
        <v>1258</v>
      </c>
      <c r="D335" s="9" t="s">
        <v>1263</v>
      </c>
      <c r="E335" s="9" t="s">
        <v>1264</v>
      </c>
      <c r="F335" s="9" t="s">
        <v>1265</v>
      </c>
      <c r="G335" s="9" t="s">
        <v>1262</v>
      </c>
      <c r="H335" s="9" t="s">
        <v>5</v>
      </c>
      <c r="I335" s="9" t="s">
        <v>511</v>
      </c>
    </row>
    <row r="336" customFormat="false" ht="23.85" hidden="false" customHeight="false" outlineLevel="0" collapsed="false">
      <c r="A336" s="9" t="s">
        <v>14</v>
      </c>
      <c r="B336" s="9" t="s">
        <v>1257</v>
      </c>
      <c r="C336" s="9" t="s">
        <v>1258</v>
      </c>
      <c r="D336" s="9" t="s">
        <v>1266</v>
      </c>
      <c r="E336" s="9" t="s">
        <v>1267</v>
      </c>
      <c r="F336" s="9" t="s">
        <v>1268</v>
      </c>
      <c r="G336" s="9" t="s">
        <v>1262</v>
      </c>
      <c r="H336" s="9" t="s">
        <v>5</v>
      </c>
      <c r="I336" s="9" t="s">
        <v>511</v>
      </c>
    </row>
    <row r="337" customFormat="false" ht="23.85" hidden="false" customHeight="false" outlineLevel="0" collapsed="false">
      <c r="A337" s="9" t="s">
        <v>14</v>
      </c>
      <c r="B337" s="9" t="s">
        <v>1257</v>
      </c>
      <c r="C337" s="9" t="s">
        <v>1258</v>
      </c>
      <c r="D337" s="9" t="s">
        <v>1269</v>
      </c>
      <c r="E337" s="9" t="s">
        <v>1270</v>
      </c>
      <c r="F337" s="9" t="s">
        <v>1271</v>
      </c>
      <c r="G337" s="9" t="s">
        <v>1262</v>
      </c>
      <c r="H337" s="9" t="s">
        <v>5</v>
      </c>
      <c r="I337" s="9" t="s">
        <v>511</v>
      </c>
    </row>
    <row r="338" customFormat="false" ht="46.25" hidden="false" customHeight="false" outlineLevel="0" collapsed="false">
      <c r="A338" s="9" t="s">
        <v>14</v>
      </c>
      <c r="B338" s="9" t="s">
        <v>1257</v>
      </c>
      <c r="C338" s="9" t="s">
        <v>1258</v>
      </c>
      <c r="D338" s="9" t="s">
        <v>1272</v>
      </c>
      <c r="E338" s="9" t="s">
        <v>1273</v>
      </c>
      <c r="F338" s="9" t="s">
        <v>1274</v>
      </c>
      <c r="G338" s="9" t="s">
        <v>1262</v>
      </c>
      <c r="H338" s="9" t="s">
        <v>5</v>
      </c>
      <c r="I338" s="9" t="s">
        <v>511</v>
      </c>
    </row>
    <row r="339" customFormat="false" ht="35.05" hidden="false" customHeight="false" outlineLevel="0" collapsed="false">
      <c r="A339" s="9" t="s">
        <v>14</v>
      </c>
      <c r="B339" s="9" t="s">
        <v>1257</v>
      </c>
      <c r="C339" s="9" t="s">
        <v>1258</v>
      </c>
      <c r="D339" s="9" t="s">
        <v>1275</v>
      </c>
      <c r="E339" s="9" t="s">
        <v>1276</v>
      </c>
      <c r="F339" s="9" t="s">
        <v>1277</v>
      </c>
      <c r="G339" s="9" t="s">
        <v>1262</v>
      </c>
      <c r="H339" s="9" t="s">
        <v>5</v>
      </c>
      <c r="I339" s="9" t="s">
        <v>511</v>
      </c>
    </row>
    <row r="340" customFormat="false" ht="35.05" hidden="false" customHeight="false" outlineLevel="0" collapsed="false">
      <c r="A340" s="9" t="s">
        <v>14</v>
      </c>
      <c r="B340" s="9" t="s">
        <v>1257</v>
      </c>
      <c r="C340" s="9" t="s">
        <v>1258</v>
      </c>
      <c r="D340" s="9" t="s">
        <v>1278</v>
      </c>
      <c r="E340" s="9" t="s">
        <v>1279</v>
      </c>
      <c r="F340" s="9" t="s">
        <v>1280</v>
      </c>
      <c r="G340" s="9" t="s">
        <v>1262</v>
      </c>
      <c r="H340" s="9" t="s">
        <v>5</v>
      </c>
      <c r="I340" s="9" t="s">
        <v>511</v>
      </c>
    </row>
    <row r="341" customFormat="false" ht="46.25" hidden="false" customHeight="false" outlineLevel="0" collapsed="false">
      <c r="A341" s="9" t="s">
        <v>14</v>
      </c>
      <c r="B341" s="9" t="s">
        <v>1281</v>
      </c>
      <c r="C341" s="9" t="s">
        <v>1282</v>
      </c>
      <c r="D341" s="9" t="s">
        <v>1283</v>
      </c>
      <c r="E341" s="9" t="s">
        <v>1284</v>
      </c>
      <c r="F341" s="9" t="s">
        <v>1285</v>
      </c>
      <c r="G341" s="9" t="s">
        <v>1286</v>
      </c>
      <c r="H341" s="9" t="s">
        <v>5</v>
      </c>
      <c r="I341" s="9"/>
    </row>
    <row r="342" customFormat="false" ht="23.85" hidden="false" customHeight="false" outlineLevel="0" collapsed="false">
      <c r="A342" s="9" t="s">
        <v>14</v>
      </c>
      <c r="B342" s="9" t="s">
        <v>1281</v>
      </c>
      <c r="C342" s="9" t="s">
        <v>1282</v>
      </c>
      <c r="D342" s="9" t="s">
        <v>1287</v>
      </c>
      <c r="E342" s="9" t="s">
        <v>1288</v>
      </c>
      <c r="F342" s="9" t="s">
        <v>1289</v>
      </c>
      <c r="G342" s="9" t="s">
        <v>1290</v>
      </c>
      <c r="H342" s="9" t="s">
        <v>5</v>
      </c>
      <c r="I342" s="9" t="s">
        <v>511</v>
      </c>
    </row>
    <row r="343" customFormat="false" ht="35.05" hidden="false" customHeight="false" outlineLevel="0" collapsed="false">
      <c r="A343" s="9" t="s">
        <v>14</v>
      </c>
      <c r="B343" s="9" t="s">
        <v>1281</v>
      </c>
      <c r="C343" s="9" t="s">
        <v>1282</v>
      </c>
      <c r="D343" s="9" t="s">
        <v>1291</v>
      </c>
      <c r="E343" s="9" t="s">
        <v>1292</v>
      </c>
      <c r="F343" s="9" t="s">
        <v>1293</v>
      </c>
      <c r="G343" s="9" t="s">
        <v>1294</v>
      </c>
      <c r="H343" s="9" t="s">
        <v>5</v>
      </c>
      <c r="I343" s="9" t="s">
        <v>511</v>
      </c>
    </row>
    <row r="344" customFormat="false" ht="23.85" hidden="false" customHeight="false" outlineLevel="0" collapsed="false">
      <c r="A344" s="9" t="s">
        <v>14</v>
      </c>
      <c r="B344" s="9" t="s">
        <v>1281</v>
      </c>
      <c r="C344" s="9" t="s">
        <v>1282</v>
      </c>
      <c r="D344" s="9" t="s">
        <v>1295</v>
      </c>
      <c r="E344" s="9" t="s">
        <v>1296</v>
      </c>
      <c r="F344" s="9" t="s">
        <v>1297</v>
      </c>
      <c r="G344" s="9" t="s">
        <v>1298</v>
      </c>
      <c r="H344" s="9" t="s">
        <v>5</v>
      </c>
      <c r="I344" s="9" t="s">
        <v>511</v>
      </c>
    </row>
    <row r="345" customFormat="false" ht="35.05" hidden="false" customHeight="false" outlineLevel="0" collapsed="false">
      <c r="A345" s="9" t="s">
        <v>14</v>
      </c>
      <c r="B345" s="9" t="s">
        <v>1281</v>
      </c>
      <c r="C345" s="9" t="s">
        <v>1282</v>
      </c>
      <c r="D345" s="9" t="s">
        <v>1299</v>
      </c>
      <c r="E345" s="9" t="s">
        <v>1300</v>
      </c>
      <c r="F345" s="9" t="s">
        <v>1301</v>
      </c>
      <c r="G345" s="9" t="s">
        <v>1302</v>
      </c>
      <c r="H345" s="9" t="s">
        <v>6</v>
      </c>
      <c r="I345" s="9" t="s">
        <v>606</v>
      </c>
    </row>
    <row r="346" customFormat="false" ht="23.85" hidden="false" customHeight="false" outlineLevel="0" collapsed="false">
      <c r="A346" s="9" t="s">
        <v>14</v>
      </c>
      <c r="B346" s="9" t="s">
        <v>1281</v>
      </c>
      <c r="C346" s="9" t="s">
        <v>1282</v>
      </c>
      <c r="D346" s="9" t="s">
        <v>1303</v>
      </c>
      <c r="E346" s="9" t="s">
        <v>1304</v>
      </c>
      <c r="F346" s="9" t="s">
        <v>1305</v>
      </c>
      <c r="G346" s="9" t="s">
        <v>1306</v>
      </c>
      <c r="H346" s="9" t="s">
        <v>5</v>
      </c>
      <c r="I346" s="9" t="s">
        <v>511</v>
      </c>
    </row>
    <row r="347" customFormat="false" ht="23.85" hidden="false" customHeight="false" outlineLevel="0" collapsed="false">
      <c r="A347" s="9" t="s">
        <v>14</v>
      </c>
      <c r="B347" s="9" t="s">
        <v>1281</v>
      </c>
      <c r="C347" s="9" t="s">
        <v>1282</v>
      </c>
      <c r="D347" s="9" t="s">
        <v>1307</v>
      </c>
      <c r="E347" s="9" t="s">
        <v>1308</v>
      </c>
      <c r="F347" s="9" t="s">
        <v>1309</v>
      </c>
      <c r="G347" s="9" t="s">
        <v>321</v>
      </c>
      <c r="H347" s="9" t="s">
        <v>6</v>
      </c>
      <c r="I347" s="9" t="s">
        <v>606</v>
      </c>
    </row>
    <row r="348" customFormat="false" ht="46.25" hidden="false" customHeight="false" outlineLevel="0" collapsed="false">
      <c r="A348" s="9" t="s">
        <v>14</v>
      </c>
      <c r="B348" s="9" t="s">
        <v>1281</v>
      </c>
      <c r="C348" s="9" t="s">
        <v>1282</v>
      </c>
      <c r="D348" s="9" t="s">
        <v>1310</v>
      </c>
      <c r="E348" s="9" t="s">
        <v>1311</v>
      </c>
      <c r="F348" s="9" t="s">
        <v>1312</v>
      </c>
      <c r="G348" s="9" t="s">
        <v>1037</v>
      </c>
      <c r="H348" s="9" t="s">
        <v>5</v>
      </c>
      <c r="I348" s="9" t="s">
        <v>511</v>
      </c>
    </row>
    <row r="349" customFormat="false" ht="35.05" hidden="false" customHeight="false" outlineLevel="0" collapsed="false">
      <c r="A349" s="9" t="s">
        <v>14</v>
      </c>
      <c r="B349" s="9" t="s">
        <v>1281</v>
      </c>
      <c r="C349" s="9" t="s">
        <v>1282</v>
      </c>
      <c r="D349" s="9" t="s">
        <v>1313</v>
      </c>
      <c r="E349" s="9" t="s">
        <v>1314</v>
      </c>
      <c r="F349" s="9" t="s">
        <v>1315</v>
      </c>
      <c r="G349" s="9" t="s">
        <v>1316</v>
      </c>
      <c r="H349" s="9" t="s">
        <v>6</v>
      </c>
      <c r="I349" s="9" t="s">
        <v>176</v>
      </c>
    </row>
    <row r="350" customFormat="false" ht="23.85" hidden="false" customHeight="false" outlineLevel="0" collapsed="false">
      <c r="A350" s="9" t="s">
        <v>14</v>
      </c>
      <c r="B350" s="9" t="s">
        <v>1317</v>
      </c>
      <c r="C350" s="9" t="s">
        <v>1318</v>
      </c>
      <c r="D350" s="9" t="s">
        <v>1319</v>
      </c>
      <c r="E350" s="9" t="s">
        <v>1320</v>
      </c>
      <c r="F350" s="9" t="s">
        <v>1321</v>
      </c>
      <c r="G350" s="9" t="s">
        <v>1322</v>
      </c>
      <c r="H350" s="9" t="s">
        <v>5</v>
      </c>
      <c r="I350" s="9"/>
    </row>
    <row r="351" customFormat="false" ht="35.05" hidden="false" customHeight="false" outlineLevel="0" collapsed="false">
      <c r="A351" s="9" t="s">
        <v>14</v>
      </c>
      <c r="B351" s="9" t="s">
        <v>1317</v>
      </c>
      <c r="C351" s="9" t="s">
        <v>1318</v>
      </c>
      <c r="D351" s="9" t="s">
        <v>1323</v>
      </c>
      <c r="E351" s="9" t="s">
        <v>1324</v>
      </c>
      <c r="F351" s="9" t="s">
        <v>1325</v>
      </c>
      <c r="G351" s="9" t="s">
        <v>1326</v>
      </c>
      <c r="H351" s="9" t="s">
        <v>5</v>
      </c>
      <c r="I351" s="9"/>
    </row>
    <row r="352" customFormat="false" ht="15" hidden="false" customHeight="false" outlineLevel="0" collapsed="false">
      <c r="A352" s="9" t="s">
        <v>14</v>
      </c>
      <c r="B352" s="9" t="s">
        <v>1317</v>
      </c>
      <c r="C352" s="9" t="s">
        <v>1318</v>
      </c>
      <c r="D352" s="9" t="s">
        <v>1327</v>
      </c>
      <c r="E352" s="9" t="s">
        <v>1328</v>
      </c>
      <c r="F352" s="9" t="s">
        <v>1329</v>
      </c>
      <c r="G352" s="9" t="s">
        <v>1330</v>
      </c>
      <c r="H352" s="9" t="s">
        <v>5</v>
      </c>
      <c r="I352" s="9" t="s">
        <v>511</v>
      </c>
    </row>
    <row r="353" customFormat="false" ht="23.85" hidden="false" customHeight="false" outlineLevel="0" collapsed="false">
      <c r="A353" s="9" t="s">
        <v>14</v>
      </c>
      <c r="B353" s="9" t="s">
        <v>1317</v>
      </c>
      <c r="C353" s="9" t="s">
        <v>1318</v>
      </c>
      <c r="D353" s="9" t="s">
        <v>1331</v>
      </c>
      <c r="E353" s="9" t="s">
        <v>1332</v>
      </c>
      <c r="F353" s="9" t="s">
        <v>1333</v>
      </c>
      <c r="G353" s="9" t="s">
        <v>1334</v>
      </c>
      <c r="H353" s="9" t="s">
        <v>5</v>
      </c>
      <c r="I353" s="9" t="s">
        <v>511</v>
      </c>
    </row>
    <row r="354" customFormat="false" ht="23.85" hidden="false" customHeight="false" outlineLevel="0" collapsed="false">
      <c r="A354" s="9" t="s">
        <v>14</v>
      </c>
      <c r="B354" s="9" t="s">
        <v>1317</v>
      </c>
      <c r="C354" s="9" t="s">
        <v>1318</v>
      </c>
      <c r="D354" s="9" t="s">
        <v>1335</v>
      </c>
      <c r="E354" s="9" t="s">
        <v>1336</v>
      </c>
      <c r="F354" s="9" t="s">
        <v>1337</v>
      </c>
      <c r="G354" s="9" t="s">
        <v>1338</v>
      </c>
      <c r="H354" s="9" t="s">
        <v>6</v>
      </c>
      <c r="I354" s="9" t="s">
        <v>176</v>
      </c>
    </row>
    <row r="355" customFormat="false" ht="35.05" hidden="false" customHeight="false" outlineLevel="0" collapsed="false">
      <c r="A355" s="9" t="s">
        <v>14</v>
      </c>
      <c r="B355" s="9" t="s">
        <v>1317</v>
      </c>
      <c r="C355" s="9" t="s">
        <v>1318</v>
      </c>
      <c r="D355" s="9" t="s">
        <v>1339</v>
      </c>
      <c r="E355" s="9" t="s">
        <v>1340</v>
      </c>
      <c r="F355" s="9" t="s">
        <v>1341</v>
      </c>
      <c r="G355" s="9" t="s">
        <v>1342</v>
      </c>
      <c r="H355" s="9" t="s">
        <v>5</v>
      </c>
      <c r="I355" s="9" t="s">
        <v>511</v>
      </c>
    </row>
    <row r="356" customFormat="false" ht="46.25" hidden="false" customHeight="false" outlineLevel="0" collapsed="false">
      <c r="A356" s="9" t="s">
        <v>14</v>
      </c>
      <c r="B356" s="9" t="s">
        <v>1317</v>
      </c>
      <c r="C356" s="9" t="s">
        <v>1318</v>
      </c>
      <c r="D356" s="9" t="s">
        <v>1343</v>
      </c>
      <c r="E356" s="9" t="s">
        <v>1344</v>
      </c>
      <c r="F356" s="9" t="s">
        <v>1345</v>
      </c>
      <c r="G356" s="9" t="s">
        <v>1346</v>
      </c>
      <c r="H356" s="9" t="s">
        <v>6</v>
      </c>
      <c r="I356" s="9" t="s">
        <v>606</v>
      </c>
    </row>
    <row r="357" customFormat="false" ht="35.05" hidden="false" customHeight="false" outlineLevel="0" collapsed="false">
      <c r="A357" s="9" t="s">
        <v>14</v>
      </c>
      <c r="B357" s="9" t="s">
        <v>1347</v>
      </c>
      <c r="C357" s="9" t="s">
        <v>1348</v>
      </c>
      <c r="D357" s="9" t="s">
        <v>1349</v>
      </c>
      <c r="E357" s="9" t="s">
        <v>1350</v>
      </c>
      <c r="F357" s="9" t="s">
        <v>1351</v>
      </c>
      <c r="G357" s="9" t="s">
        <v>1352</v>
      </c>
      <c r="H357" s="9" t="s">
        <v>6</v>
      </c>
      <c r="I357" s="9" t="s">
        <v>176</v>
      </c>
    </row>
    <row r="358" customFormat="false" ht="23.85" hidden="false" customHeight="false" outlineLevel="0" collapsed="false">
      <c r="A358" s="9" t="s">
        <v>14</v>
      </c>
      <c r="B358" s="9" t="s">
        <v>1347</v>
      </c>
      <c r="C358" s="9" t="s">
        <v>1348</v>
      </c>
      <c r="D358" s="9" t="s">
        <v>1353</v>
      </c>
      <c r="E358" s="9" t="s">
        <v>1354</v>
      </c>
      <c r="F358" s="9" t="s">
        <v>1355</v>
      </c>
      <c r="G358" s="9" t="s">
        <v>1356</v>
      </c>
      <c r="H358" s="9" t="s">
        <v>4</v>
      </c>
      <c r="I358" s="9"/>
    </row>
    <row r="359" customFormat="false" ht="23.85" hidden="false" customHeight="false" outlineLevel="0" collapsed="false">
      <c r="A359" s="9" t="s">
        <v>14</v>
      </c>
      <c r="B359" s="9" t="s">
        <v>1347</v>
      </c>
      <c r="C359" s="9" t="s">
        <v>1348</v>
      </c>
      <c r="D359" s="9" t="s">
        <v>1357</v>
      </c>
      <c r="E359" s="9" t="s">
        <v>1358</v>
      </c>
      <c r="F359" s="9" t="s">
        <v>1359</v>
      </c>
      <c r="G359" s="9" t="s">
        <v>1360</v>
      </c>
      <c r="H359" s="9" t="s">
        <v>4</v>
      </c>
      <c r="I359" s="9" t="s">
        <v>1361</v>
      </c>
    </row>
    <row r="360" customFormat="false" ht="35.05" hidden="false" customHeight="false" outlineLevel="0" collapsed="false">
      <c r="A360" s="9" t="s">
        <v>14</v>
      </c>
      <c r="B360" s="9" t="s">
        <v>1347</v>
      </c>
      <c r="C360" s="9" t="s">
        <v>1348</v>
      </c>
      <c r="D360" s="9" t="s">
        <v>1362</v>
      </c>
      <c r="E360" s="9" t="s">
        <v>1363</v>
      </c>
      <c r="F360" s="9" t="s">
        <v>1364</v>
      </c>
      <c r="G360" s="9" t="s">
        <v>1365</v>
      </c>
      <c r="H360" s="9" t="s">
        <v>5</v>
      </c>
      <c r="I360" s="9" t="s">
        <v>511</v>
      </c>
    </row>
    <row r="361" customFormat="false" ht="23.85" hidden="false" customHeight="false" outlineLevel="0" collapsed="false">
      <c r="A361" s="9" t="s">
        <v>14</v>
      </c>
      <c r="B361" s="9" t="s">
        <v>1347</v>
      </c>
      <c r="C361" s="9" t="s">
        <v>1348</v>
      </c>
      <c r="D361" s="9" t="s">
        <v>1366</v>
      </c>
      <c r="E361" s="9" t="s">
        <v>1367</v>
      </c>
      <c r="F361" s="9" t="s">
        <v>1368</v>
      </c>
      <c r="G361" s="9" t="s">
        <v>1369</v>
      </c>
      <c r="H361" s="9" t="s">
        <v>5</v>
      </c>
      <c r="I361" s="9" t="s">
        <v>511</v>
      </c>
    </row>
    <row r="362" customFormat="false" ht="23.85" hidden="false" customHeight="false" outlineLevel="0" collapsed="false">
      <c r="A362" s="9" t="s">
        <v>14</v>
      </c>
      <c r="B362" s="9" t="s">
        <v>1347</v>
      </c>
      <c r="C362" s="9" t="s">
        <v>1348</v>
      </c>
      <c r="D362" s="9" t="s">
        <v>1370</v>
      </c>
      <c r="E362" s="9" t="s">
        <v>1371</v>
      </c>
      <c r="F362" s="9" t="s">
        <v>1372</v>
      </c>
      <c r="G362" s="9" t="s">
        <v>1373</v>
      </c>
      <c r="H362" s="9" t="s">
        <v>5</v>
      </c>
      <c r="I362" s="9"/>
    </row>
    <row r="363" customFormat="false" ht="23.85" hidden="false" customHeight="false" outlineLevel="0" collapsed="false">
      <c r="A363" s="9" t="s">
        <v>14</v>
      </c>
      <c r="B363" s="9" t="s">
        <v>1347</v>
      </c>
      <c r="C363" s="9" t="s">
        <v>1348</v>
      </c>
      <c r="D363" s="9" t="s">
        <v>1374</v>
      </c>
      <c r="E363" s="9" t="s">
        <v>1375</v>
      </c>
      <c r="F363" s="9" t="s">
        <v>1376</v>
      </c>
      <c r="G363" s="9" t="s">
        <v>1377</v>
      </c>
      <c r="H363" s="9" t="s">
        <v>6</v>
      </c>
      <c r="I363" s="9" t="s">
        <v>606</v>
      </c>
    </row>
    <row r="364" customFormat="false" ht="35.05" hidden="false" customHeight="false" outlineLevel="0" collapsed="false">
      <c r="A364" s="9" t="s">
        <v>14</v>
      </c>
      <c r="B364" s="9" t="s">
        <v>1347</v>
      </c>
      <c r="C364" s="9" t="s">
        <v>1348</v>
      </c>
      <c r="D364" s="9" t="s">
        <v>1378</v>
      </c>
      <c r="E364" s="9" t="s">
        <v>1379</v>
      </c>
      <c r="F364" s="9" t="s">
        <v>1380</v>
      </c>
      <c r="G364" s="9" t="s">
        <v>1381</v>
      </c>
      <c r="H364" s="9" t="s">
        <v>5</v>
      </c>
      <c r="I364" s="9"/>
    </row>
    <row r="365" customFormat="false" ht="57.45" hidden="false" customHeight="false" outlineLevel="0" collapsed="false">
      <c r="A365" s="9" t="s">
        <v>14</v>
      </c>
      <c r="B365" s="9" t="s">
        <v>1347</v>
      </c>
      <c r="C365" s="9" t="s">
        <v>1348</v>
      </c>
      <c r="D365" s="9" t="s">
        <v>1382</v>
      </c>
      <c r="E365" s="9" t="s">
        <v>1383</v>
      </c>
      <c r="F365" s="9" t="s">
        <v>1384</v>
      </c>
      <c r="G365" s="9" t="s">
        <v>1385</v>
      </c>
      <c r="H365" s="9" t="s">
        <v>6</v>
      </c>
      <c r="I365" s="9" t="s">
        <v>606</v>
      </c>
    </row>
    <row r="366" customFormat="false" ht="35.05" hidden="false" customHeight="false" outlineLevel="0" collapsed="false">
      <c r="A366" s="9" t="s">
        <v>14</v>
      </c>
      <c r="B366" s="9" t="s">
        <v>1347</v>
      </c>
      <c r="C366" s="9" t="s">
        <v>1348</v>
      </c>
      <c r="D366" s="9" t="s">
        <v>1386</v>
      </c>
      <c r="E366" s="9" t="s">
        <v>1387</v>
      </c>
      <c r="F366" s="9" t="s">
        <v>1388</v>
      </c>
      <c r="G366" s="9" t="s">
        <v>1389</v>
      </c>
      <c r="H366" s="9" t="s">
        <v>5</v>
      </c>
      <c r="I366" s="9" t="s">
        <v>511</v>
      </c>
    </row>
    <row r="367" customFormat="false" ht="23.85" hidden="false" customHeight="false" outlineLevel="0" collapsed="false">
      <c r="A367" s="9" t="s">
        <v>14</v>
      </c>
      <c r="B367" s="9" t="s">
        <v>1347</v>
      </c>
      <c r="C367" s="9" t="s">
        <v>1348</v>
      </c>
      <c r="D367" s="9" t="s">
        <v>1390</v>
      </c>
      <c r="E367" s="9" t="s">
        <v>1391</v>
      </c>
      <c r="F367" s="9" t="s">
        <v>1392</v>
      </c>
      <c r="G367" s="9" t="s">
        <v>1393</v>
      </c>
      <c r="H367" s="9" t="s">
        <v>5</v>
      </c>
      <c r="I367" s="9" t="s">
        <v>511</v>
      </c>
    </row>
    <row r="368" customFormat="false" ht="35.05" hidden="false" customHeight="false" outlineLevel="0" collapsed="false">
      <c r="A368" s="9" t="s">
        <v>14</v>
      </c>
      <c r="B368" s="9" t="s">
        <v>1394</v>
      </c>
      <c r="C368" s="9" t="s">
        <v>1395</v>
      </c>
      <c r="D368" s="9" t="s">
        <v>1396</v>
      </c>
      <c r="E368" s="9" t="s">
        <v>1397</v>
      </c>
      <c r="F368" s="9" t="s">
        <v>1398</v>
      </c>
      <c r="G368" s="9" t="s">
        <v>1399</v>
      </c>
      <c r="H368" s="9" t="s">
        <v>5</v>
      </c>
      <c r="I368" s="9"/>
    </row>
    <row r="369" customFormat="false" ht="15" hidden="false" customHeight="false" outlineLevel="0" collapsed="false">
      <c r="A369" s="9" t="s">
        <v>14</v>
      </c>
      <c r="B369" s="9" t="s">
        <v>1394</v>
      </c>
      <c r="C369" s="9" t="s">
        <v>1395</v>
      </c>
      <c r="D369" s="9" t="s">
        <v>1400</v>
      </c>
      <c r="E369" s="9" t="s">
        <v>1401</v>
      </c>
      <c r="F369" s="9" t="s">
        <v>1402</v>
      </c>
      <c r="G369" s="9" t="s">
        <v>1403</v>
      </c>
      <c r="H369" s="9" t="s">
        <v>5</v>
      </c>
      <c r="I369" s="9"/>
    </row>
    <row r="370" customFormat="false" ht="23.85" hidden="false" customHeight="false" outlineLevel="0" collapsed="false">
      <c r="A370" s="9" t="s">
        <v>14</v>
      </c>
      <c r="B370" s="9" t="s">
        <v>1394</v>
      </c>
      <c r="C370" s="9" t="s">
        <v>1395</v>
      </c>
      <c r="D370" s="9" t="s">
        <v>1404</v>
      </c>
      <c r="E370" s="9" t="s">
        <v>1405</v>
      </c>
      <c r="F370" s="9" t="s">
        <v>1406</v>
      </c>
      <c r="G370" s="9" t="s">
        <v>1407</v>
      </c>
      <c r="H370" s="9" t="s">
        <v>5</v>
      </c>
      <c r="I370" s="9"/>
    </row>
    <row r="371" customFormat="false" ht="23.85" hidden="false" customHeight="false" outlineLevel="0" collapsed="false">
      <c r="A371" s="9" t="s">
        <v>14</v>
      </c>
      <c r="B371" s="9" t="s">
        <v>1394</v>
      </c>
      <c r="C371" s="9" t="s">
        <v>1395</v>
      </c>
      <c r="D371" s="9" t="s">
        <v>1408</v>
      </c>
      <c r="E371" s="9" t="s">
        <v>1409</v>
      </c>
      <c r="F371" s="9" t="s">
        <v>1410</v>
      </c>
      <c r="G371" s="9" t="s">
        <v>1411</v>
      </c>
      <c r="H371" s="9" t="s">
        <v>5</v>
      </c>
      <c r="I371" s="9"/>
    </row>
    <row r="372" customFormat="false" ht="23.85" hidden="false" customHeight="false" outlineLevel="0" collapsed="false">
      <c r="A372" s="9" t="s">
        <v>14</v>
      </c>
      <c r="B372" s="9" t="s">
        <v>1394</v>
      </c>
      <c r="C372" s="9" t="s">
        <v>1395</v>
      </c>
      <c r="D372" s="9" t="s">
        <v>1412</v>
      </c>
      <c r="E372" s="9" t="s">
        <v>1413</v>
      </c>
      <c r="F372" s="9" t="s">
        <v>1414</v>
      </c>
      <c r="G372" s="9" t="s">
        <v>1415</v>
      </c>
      <c r="H372" s="9" t="s">
        <v>5</v>
      </c>
      <c r="I372" s="9" t="s">
        <v>511</v>
      </c>
    </row>
    <row r="373" customFormat="false" ht="23.85" hidden="false" customHeight="false" outlineLevel="0" collapsed="false">
      <c r="A373" s="9" t="s">
        <v>14</v>
      </c>
      <c r="B373" s="9" t="s">
        <v>1416</v>
      </c>
      <c r="C373" s="9" t="s">
        <v>1417</v>
      </c>
      <c r="D373" s="9" t="s">
        <v>1418</v>
      </c>
      <c r="E373" s="9" t="s">
        <v>1419</v>
      </c>
      <c r="F373" s="9" t="s">
        <v>1420</v>
      </c>
      <c r="G373" s="9" t="s">
        <v>1421</v>
      </c>
      <c r="H373" s="9" t="s">
        <v>6</v>
      </c>
      <c r="I373" s="9" t="s">
        <v>176</v>
      </c>
    </row>
    <row r="374" customFormat="false" ht="23.85" hidden="false" customHeight="false" outlineLevel="0" collapsed="false">
      <c r="A374" s="9" t="s">
        <v>14</v>
      </c>
      <c r="B374" s="9" t="s">
        <v>1416</v>
      </c>
      <c r="C374" s="9" t="s">
        <v>1417</v>
      </c>
      <c r="D374" s="9" t="s">
        <v>1422</v>
      </c>
      <c r="E374" s="9" t="s">
        <v>1423</v>
      </c>
      <c r="F374" s="9" t="s">
        <v>1424</v>
      </c>
      <c r="G374" s="9" t="s">
        <v>1425</v>
      </c>
      <c r="H374" s="9" t="s">
        <v>6</v>
      </c>
      <c r="I374" s="9" t="s">
        <v>176</v>
      </c>
    </row>
    <row r="375" customFormat="false" ht="23.85" hidden="false" customHeight="false" outlineLevel="0" collapsed="false">
      <c r="A375" s="9" t="s">
        <v>14</v>
      </c>
      <c r="B375" s="9" t="s">
        <v>1416</v>
      </c>
      <c r="C375" s="9" t="s">
        <v>1417</v>
      </c>
      <c r="D375" s="9" t="s">
        <v>1426</v>
      </c>
      <c r="E375" s="9" t="s">
        <v>1427</v>
      </c>
      <c r="F375" s="9" t="s">
        <v>1428</v>
      </c>
      <c r="G375" s="9" t="s">
        <v>1429</v>
      </c>
      <c r="H375" s="9" t="s">
        <v>5</v>
      </c>
      <c r="I375" s="9" t="s">
        <v>511</v>
      </c>
    </row>
    <row r="376" customFormat="false" ht="35.05" hidden="false" customHeight="false" outlineLevel="0" collapsed="false">
      <c r="A376" s="9" t="s">
        <v>14</v>
      </c>
      <c r="B376" s="9" t="s">
        <v>1416</v>
      </c>
      <c r="C376" s="9" t="s">
        <v>1417</v>
      </c>
      <c r="D376" s="9" t="s">
        <v>1430</v>
      </c>
      <c r="E376" s="9" t="s">
        <v>1431</v>
      </c>
      <c r="F376" s="9" t="s">
        <v>1432</v>
      </c>
      <c r="G376" s="9" t="s">
        <v>1433</v>
      </c>
      <c r="H376" s="9" t="s">
        <v>5</v>
      </c>
      <c r="I376" s="9" t="s">
        <v>511</v>
      </c>
    </row>
    <row r="377" customFormat="false" ht="23.85" hidden="false" customHeight="false" outlineLevel="0" collapsed="false">
      <c r="A377" s="9" t="s">
        <v>14</v>
      </c>
      <c r="B377" s="9" t="s">
        <v>1416</v>
      </c>
      <c r="C377" s="9" t="s">
        <v>1417</v>
      </c>
      <c r="D377" s="9" t="s">
        <v>1434</v>
      </c>
      <c r="E377" s="9" t="s">
        <v>1435</v>
      </c>
      <c r="F377" s="9" t="s">
        <v>1436</v>
      </c>
      <c r="G377" s="9" t="s">
        <v>1433</v>
      </c>
      <c r="H377" s="9" t="s">
        <v>5</v>
      </c>
      <c r="I377" s="9" t="s">
        <v>511</v>
      </c>
    </row>
    <row r="378" customFormat="false" ht="23.85" hidden="false" customHeight="false" outlineLevel="0" collapsed="false">
      <c r="A378" s="9" t="s">
        <v>14</v>
      </c>
      <c r="B378" s="9" t="s">
        <v>1416</v>
      </c>
      <c r="C378" s="9" t="s">
        <v>1417</v>
      </c>
      <c r="D378" s="9" t="s">
        <v>1437</v>
      </c>
      <c r="E378" s="9" t="s">
        <v>1438</v>
      </c>
      <c r="F378" s="9" t="s">
        <v>1439</v>
      </c>
      <c r="G378" s="9" t="s">
        <v>1440</v>
      </c>
      <c r="H378" s="9" t="s">
        <v>6</v>
      </c>
      <c r="I378" s="9" t="s">
        <v>606</v>
      </c>
    </row>
  </sheetData>
  <autoFilter ref="A1:I378"/>
  <conditionalFormatting sqref="H2:H378">
    <cfRule type="cellIs" priority="2" operator="equal" aboveAverage="0" equalAverage="0" bottom="0" percent="0" rank="0" text="" dxfId="6">
      <formula>"Pass"</formula>
    </cfRule>
    <cfRule type="cellIs" priority="3" operator="equal" aboveAverage="0" equalAverage="0" bottom="0" percent="0" rank="0" text="" dxfId="7">
      <formula>"Fail"</formula>
    </cfRule>
    <cfRule type="cellIs" priority="4" operator="equal" aboveAverage="0" equalAverage="0" bottom="0" percent="0" rank="0" text="" dxfId="8">
      <formula>"Blocked"</formula>
    </cfRule>
  </conditionalFormatting>
  <dataValidations count="1">
    <dataValidation allowBlank="true" errorStyle="stop" operator="between" showDropDown="false" showErrorMessage="false" showInputMessage="false" sqref="H2:H378"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2026-10-21T07:24:29Z</dcterms:created>
  <dc:creator>openpyxl</dc:creator>
  <dc:description/>
  <dc:language>en-US</dc:language>
  <cp:lastModifiedBy/>
  <dcterms:modified xsi:type="dcterms:W3CDTF">2026-10-21T07:24:29Z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